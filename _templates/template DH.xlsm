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rine Arias\Documents\JEOPROBE_automatizacion_memorias\_templates\"/>
    </mc:Choice>
  </mc:AlternateContent>
  <xr:revisionPtr revIDLastSave="0" documentId="13_ncr:1_{603AD3A6-9089-421F-91AF-8B2A8D6FAEE5}" xr6:coauthVersionLast="47" xr6:coauthVersionMax="47" xr10:uidLastSave="{00000000-0000-0000-0000-000000000000}"/>
  <bookViews>
    <workbookView xWindow="22932" yWindow="-48" windowWidth="23256" windowHeight="12456" activeTab="1" xr2:uid="{00000000-000D-0000-FFFF-FFFF00000000}"/>
  </bookViews>
  <sheets>
    <sheet name="Analisis" sheetId="1" r:id="rId1"/>
    <sheet name="Resultados" sheetId="2" r:id="rId2"/>
    <sheet name="SPT" sheetId="3" state="hidden" r:id="rId3"/>
    <sheet name="Comparación" sheetId="4" state="hidden" r:id="rId4"/>
  </sheets>
  <definedNames>
    <definedName name="_xleta.NA" hidden="1" xlm="1">#NAME?</definedName>
    <definedName name="_xlnm.Print_Area" localSheetId="1">Resultados!$B$1:$R$127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17" i="2"/>
  <c r="B18" i="2"/>
  <c r="B19" i="2"/>
  <c r="B20" i="2"/>
  <c r="B21" i="2"/>
  <c r="B22" i="2"/>
  <c r="B23" i="2"/>
  <c r="B24" i="2"/>
  <c r="B25" i="2"/>
  <c r="B26" i="2"/>
  <c r="B27" i="2"/>
  <c r="B28" i="2"/>
  <c r="B15" i="2"/>
  <c r="F15" i="2" s="1"/>
  <c r="B29" i="2"/>
  <c r="C29" i="2" s="1"/>
  <c r="I29" i="2"/>
  <c r="J29" i="2"/>
  <c r="I28" i="2"/>
  <c r="Q71" i="2"/>
  <c r="Q70" i="2"/>
  <c r="Q68" i="2"/>
  <c r="C72" i="2"/>
  <c r="C71" i="2"/>
  <c r="D70" i="2"/>
  <c r="C69" i="2"/>
  <c r="C68" i="2"/>
  <c r="W14" i="2" l="1"/>
  <c r="H29" i="2"/>
  <c r="G29" i="2"/>
  <c r="F29" i="2"/>
  <c r="E29" i="2"/>
  <c r="D29" i="2"/>
  <c r="K29" i="2"/>
  <c r="S43" i="2"/>
  <c r="F28" i="2"/>
  <c r="C28" i="2"/>
  <c r="S45" i="2"/>
  <c r="S44" i="2"/>
  <c r="S34" i="2" l="1"/>
  <c r="S37" i="2"/>
  <c r="S39" i="2"/>
  <c r="S41" i="2"/>
  <c r="S35" i="2" l="1"/>
  <c r="S42" i="2"/>
  <c r="S40" i="2"/>
  <c r="S38" i="2"/>
  <c r="S36" i="2"/>
  <c r="F19" i="2" l="1"/>
  <c r="C16" i="2"/>
  <c r="W8" i="1" l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7" i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7" i="1"/>
  <c r="E7" i="1" s="1"/>
  <c r="I16" i="2"/>
  <c r="I17" i="2"/>
  <c r="I18" i="2"/>
  <c r="I19" i="2"/>
  <c r="I20" i="2"/>
  <c r="I21" i="2"/>
  <c r="I22" i="2"/>
  <c r="I23" i="2"/>
  <c r="I24" i="2"/>
  <c r="I25" i="2"/>
  <c r="I26" i="2"/>
  <c r="I27" i="2"/>
  <c r="D22" i="3" l="1"/>
  <c r="D23" i="3"/>
  <c r="D18" i="3"/>
  <c r="D20" i="3"/>
  <c r="D21" i="3" l="1"/>
  <c r="D19" i="3"/>
  <c r="B23" i="3" l="1"/>
  <c r="B22" i="3"/>
  <c r="C22" i="3" s="1"/>
  <c r="I22" i="3" s="1"/>
  <c r="B21" i="3"/>
  <c r="C21" i="3" s="1"/>
  <c r="I21" i="3" s="1"/>
  <c r="B20" i="3"/>
  <c r="C20" i="3" s="1"/>
  <c r="I20" i="3" s="1"/>
  <c r="B19" i="3"/>
  <c r="B18" i="3"/>
  <c r="C18" i="3" s="1"/>
  <c r="I18" i="3" s="1"/>
  <c r="B15" i="3"/>
  <c r="C15" i="3" s="1"/>
  <c r="I15" i="3" s="1"/>
  <c r="B14" i="3"/>
  <c r="C14" i="3" s="1"/>
  <c r="I14" i="3" s="1"/>
  <c r="B9" i="3"/>
  <c r="C9" i="3" s="1"/>
  <c r="I9" i="3" s="1"/>
  <c r="B8" i="3"/>
  <c r="B7" i="3"/>
  <c r="B6" i="3"/>
  <c r="C6" i="3" s="1"/>
  <c r="I6" i="3" s="1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6" i="3"/>
  <c r="C7" i="3"/>
  <c r="I7" i="3" s="1"/>
  <c r="C10" i="3"/>
  <c r="I10" i="3" s="1"/>
  <c r="C11" i="3"/>
  <c r="I11" i="3" s="1"/>
  <c r="C12" i="3"/>
  <c r="I12" i="3" s="1"/>
  <c r="C13" i="3"/>
  <c r="I13" i="3" s="1"/>
  <c r="C16" i="3"/>
  <c r="I16" i="3" s="1"/>
  <c r="C17" i="3"/>
  <c r="I17" i="3" s="1"/>
  <c r="C19" i="3"/>
  <c r="I19" i="3" s="1"/>
  <c r="C23" i="3"/>
  <c r="I23" i="3" s="1"/>
  <c r="C8" i="3" l="1"/>
  <c r="I8" i="3" s="1"/>
  <c r="I15" i="2"/>
  <c r="C15" i="2" l="1"/>
  <c r="D15" i="2" s="1"/>
  <c r="D17" i="3" l="1"/>
  <c r="D6" i="3" l="1"/>
  <c r="K6" i="3" s="1"/>
  <c r="S15" i="2"/>
  <c r="D7" i="3"/>
  <c r="K7" i="3" s="1"/>
  <c r="D8" i="3"/>
  <c r="K8" i="3" s="1"/>
  <c r="F16" i="2"/>
  <c r="F17" i="2"/>
  <c r="F18" i="2"/>
  <c r="S18" i="2" s="1"/>
  <c r="F20" i="2"/>
  <c r="F21" i="2"/>
  <c r="F22" i="2"/>
  <c r="D10" i="3" s="1"/>
  <c r="K10" i="3" s="1"/>
  <c r="F23" i="2"/>
  <c r="F24" i="2"/>
  <c r="D11" i="3" s="1"/>
  <c r="F25" i="2"/>
  <c r="F26" i="2"/>
  <c r="F27" i="2"/>
  <c r="D12" i="3" s="1"/>
  <c r="D13" i="3"/>
  <c r="D14" i="3"/>
  <c r="D15" i="3"/>
  <c r="D16" i="3"/>
  <c r="D9" i="3" l="1"/>
  <c r="K9" i="3" s="1"/>
  <c r="S16" i="2"/>
  <c r="E6" i="3"/>
  <c r="F6" i="3" s="1"/>
  <c r="H6" i="3" s="1"/>
  <c r="J6" i="3" s="1"/>
  <c r="E23" i="3"/>
  <c r="K23" i="3"/>
  <c r="E22" i="3"/>
  <c r="K22" i="3"/>
  <c r="E21" i="3"/>
  <c r="K21" i="3"/>
  <c r="E20" i="3"/>
  <c r="K20" i="3"/>
  <c r="E19" i="3"/>
  <c r="K19" i="3"/>
  <c r="E18" i="3"/>
  <c r="K18" i="3"/>
  <c r="E17" i="3"/>
  <c r="K17" i="3"/>
  <c r="E16" i="3"/>
  <c r="K16" i="3"/>
  <c r="E15" i="3"/>
  <c r="K15" i="3"/>
  <c r="E14" i="3"/>
  <c r="K14" i="3"/>
  <c r="E13" i="3"/>
  <c r="K13" i="3"/>
  <c r="E12" i="3"/>
  <c r="K12" i="3"/>
  <c r="E11" i="3"/>
  <c r="K11" i="3"/>
  <c r="E10" i="3"/>
  <c r="E8" i="3"/>
  <c r="E7" i="3"/>
  <c r="E9" i="3" l="1"/>
  <c r="F13" i="3" s="1"/>
  <c r="H13" i="3" s="1"/>
  <c r="J13" i="3" s="1"/>
  <c r="F7" i="3"/>
  <c r="H7" i="3" s="1"/>
  <c r="J7" i="3" s="1"/>
  <c r="F8" i="3"/>
  <c r="H8" i="3" s="1"/>
  <c r="J8" i="3" s="1"/>
  <c r="C18" i="2"/>
  <c r="F12" i="3" l="1"/>
  <c r="H12" i="3" s="1"/>
  <c r="J12" i="3" s="1"/>
  <c r="F19" i="3"/>
  <c r="H19" i="3" s="1"/>
  <c r="J19" i="3" s="1"/>
  <c r="F15" i="3"/>
  <c r="H15" i="3" s="1"/>
  <c r="J15" i="3" s="1"/>
  <c r="F9" i="3"/>
  <c r="H9" i="3" s="1"/>
  <c r="J9" i="3" s="1"/>
  <c r="F10" i="3"/>
  <c r="H10" i="3" s="1"/>
  <c r="J10" i="3" s="1"/>
  <c r="F11" i="3"/>
  <c r="H11" i="3" s="1"/>
  <c r="J11" i="3" s="1"/>
  <c r="F20" i="3"/>
  <c r="H20" i="3" s="1"/>
  <c r="J20" i="3" s="1"/>
  <c r="F18" i="3"/>
  <c r="H18" i="3" s="1"/>
  <c r="J18" i="3" s="1"/>
  <c r="F22" i="3"/>
  <c r="H22" i="3" s="1"/>
  <c r="J22" i="3" s="1"/>
  <c r="F14" i="3"/>
  <c r="H14" i="3" s="1"/>
  <c r="J14" i="3" s="1"/>
  <c r="F16" i="3"/>
  <c r="H16" i="3" s="1"/>
  <c r="J16" i="3" s="1"/>
  <c r="F23" i="3"/>
  <c r="H23" i="3" s="1"/>
  <c r="J23" i="3" s="1"/>
  <c r="F17" i="3"/>
  <c r="H17" i="3" s="1"/>
  <c r="J17" i="3" s="1"/>
  <c r="F21" i="3"/>
  <c r="H21" i="3" s="1"/>
  <c r="J21" i="3" s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7" i="1"/>
  <c r="J28" i="2" l="1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K18" i="2"/>
  <c r="K28" i="2"/>
  <c r="K24" i="2"/>
  <c r="K23" i="2"/>
  <c r="K21" i="2"/>
  <c r="K17" i="2"/>
  <c r="K27" i="2"/>
  <c r="K19" i="2"/>
  <c r="K26" i="2"/>
  <c r="K22" i="2"/>
  <c r="K15" i="2"/>
  <c r="K16" i="2"/>
  <c r="K25" i="2"/>
  <c r="K20" i="2"/>
  <c r="S21" i="2" l="1"/>
  <c r="S32" i="2"/>
  <c r="S33" i="2"/>
  <c r="C17" i="2" l="1"/>
  <c r="C21" i="2"/>
  <c r="C25" i="2"/>
  <c r="C20" i="2"/>
  <c r="C19" i="2"/>
  <c r="C27" i="2"/>
  <c r="C22" i="2"/>
  <c r="C26" i="2"/>
  <c r="C24" i="2"/>
  <c r="C23" i="2"/>
  <c r="S31" i="2"/>
  <c r="S30" i="2"/>
  <c r="S29" i="2"/>
  <c r="S28" i="2"/>
  <c r="S27" i="2"/>
  <c r="S26" i="2"/>
  <c r="S25" i="2"/>
  <c r="S24" i="2"/>
  <c r="S22" i="2"/>
  <c r="S20" i="2"/>
  <c r="S19" i="2"/>
  <c r="S17" i="2"/>
  <c r="S23" i="2"/>
  <c r="W15" i="2" l="1"/>
  <c r="W16" i="2"/>
  <c r="D16" i="2"/>
  <c r="E16" i="2" s="1"/>
  <c r="G15" i="2"/>
  <c r="G16" i="2" s="1"/>
  <c r="H16" i="2" s="1"/>
  <c r="D17" i="2" l="1"/>
  <c r="G17" i="2"/>
  <c r="E17" i="2" l="1"/>
  <c r="D18" i="2"/>
  <c r="G18" i="2"/>
  <c r="H17" i="2"/>
  <c r="E18" i="2" l="1"/>
  <c r="D19" i="2"/>
  <c r="E19" i="2" s="1"/>
  <c r="G19" i="2"/>
  <c r="G20" i="2" s="1"/>
  <c r="H18" i="2"/>
  <c r="D20" i="2" l="1"/>
  <c r="D21" i="2" s="1"/>
  <c r="D22" i="2" s="1"/>
  <c r="H19" i="2"/>
  <c r="E21" i="2" l="1"/>
  <c r="E20" i="2"/>
  <c r="G21" i="2"/>
  <c r="H20" i="2"/>
  <c r="D23" i="2"/>
  <c r="E22" i="2"/>
  <c r="G22" i="2" l="1"/>
  <c r="H21" i="2"/>
  <c r="D24" i="2"/>
  <c r="E23" i="2"/>
  <c r="G23" i="2" l="1"/>
  <c r="H22" i="2"/>
  <c r="D25" i="2"/>
  <c r="E24" i="2"/>
  <c r="G24" i="2" l="1"/>
  <c r="H23" i="2"/>
  <c r="D26" i="2"/>
  <c r="E25" i="2"/>
  <c r="G25" i="2" l="1"/>
  <c r="H24" i="2"/>
  <c r="D27" i="2"/>
  <c r="D28" i="2" s="1"/>
  <c r="E26" i="2"/>
  <c r="E28" i="2" l="1"/>
  <c r="G26" i="2"/>
  <c r="H25" i="2"/>
  <c r="E27" i="2"/>
  <c r="G27" i="2" l="1"/>
  <c r="G28" i="2" s="1"/>
  <c r="H26" i="2"/>
  <c r="H28" i="2" l="1"/>
  <c r="H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Echeverri</author>
  </authors>
  <commentList>
    <comment ref="B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Nicolas Echeverri:</t>
        </r>
        <r>
          <rPr>
            <sz val="9"/>
            <color indexed="81"/>
            <rFont val="Tahoma"/>
            <family val="2"/>
          </rPr>
          <t xml:space="preserve">
1. Pegar los datos de profundidad, Vp y Vs obtenidos con el PS-log de Geogiga.
2. En la columna 5, ajustar los valores de Vp/Vs mayores a 7 y menores a 1.5 y copiar el resto de la columna 4.
3.Espichar el botón</t>
        </r>
        <r>
          <rPr>
            <i/>
            <sz val="9"/>
            <color indexed="81"/>
            <rFont val="Tahoma"/>
            <family val="2"/>
          </rPr>
          <t>: Ajustar Vp/Vs y v</t>
        </r>
        <r>
          <rPr>
            <sz val="9"/>
            <color indexed="81"/>
            <rFont val="Tahoma"/>
            <family val="2"/>
          </rPr>
          <t xml:space="preserve">, seguir las instrucciones. Si se equivoca en la profundidad escrita, ponga end en el mensaje que aparece y vuelva a espichar el botón.
4.Espichar el botón: </t>
        </r>
        <r>
          <rPr>
            <i/>
            <sz val="9"/>
            <color indexed="81"/>
            <rFont val="Tahoma"/>
            <family val="2"/>
          </rPr>
          <t xml:space="preserve">Suavizar </t>
        </r>
        <r>
          <rPr>
            <sz val="9"/>
            <color indexed="81"/>
            <rFont val="Tahoma"/>
            <family val="2"/>
          </rPr>
          <t xml:space="preserve">y suavizar las tendencias obtenidas para Vp y Vs. El numero 1 no suaviza nada, mientras que el numero 10 vuelve la tendencia casi lineal.
5.Si existen datos en la hoja espichar el botón: </t>
        </r>
        <r>
          <rPr>
            <i/>
            <sz val="9"/>
            <color indexed="81"/>
            <rFont val="Tahoma"/>
            <family val="2"/>
          </rPr>
          <t>Borrar datos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<sst xmlns="http://schemas.openxmlformats.org/spreadsheetml/2006/main" count="89" uniqueCount="71">
  <si>
    <t>ANALISIS DOWN-HOLE</t>
  </si>
  <si>
    <t>Distancia-sondeo-Fuente(m)</t>
  </si>
  <si>
    <t>PROF(m)</t>
  </si>
  <si>
    <t>Vs From GEOGIGA</t>
  </si>
  <si>
    <t>Vp From GEOGIGA</t>
  </si>
  <si>
    <t>Vp/Vs</t>
  </si>
  <si>
    <t xml:space="preserve">Ajuste de: Vp/Vs </t>
  </si>
  <si>
    <t xml:space="preserve">Vp/Vs calculado </t>
  </si>
  <si>
    <t>v</t>
  </si>
  <si>
    <t>Vp ajustada</t>
  </si>
  <si>
    <t>Vp final smoothed</t>
  </si>
  <si>
    <t>Vs final smoothed</t>
  </si>
  <si>
    <t>RESULTADOS DE ENSAYO DOWN HOLE</t>
  </si>
  <si>
    <t xml:space="preserve">PROYECTO:   </t>
  </si>
  <si>
    <t>DISTANCIA HORIZONTAL DE LA FUENTE AL SONDEO (m)</t>
  </si>
  <si>
    <t>CLIENTE:</t>
  </si>
  <si>
    <t>OPERADOR:</t>
  </si>
  <si>
    <t xml:space="preserve">Profundidad </t>
  </si>
  <si>
    <t>Tiempo de llegada ondas SH identificado</t>
  </si>
  <si>
    <t>ΔTs (Ti-Ti-1)</t>
  </si>
  <si>
    <t>Vs</t>
  </si>
  <si>
    <t>Gráficas de Resultados</t>
  </si>
  <si>
    <t>(m)</t>
  </si>
  <si>
    <t>Ts(s)</t>
  </si>
  <si>
    <t>(s)</t>
  </si>
  <si>
    <t>(m/s)</t>
  </si>
  <si>
    <t>Vs30</t>
  </si>
  <si>
    <t>Suma(1/Vs)</t>
  </si>
  <si>
    <t>Jorge Alberto Rodriguez</t>
  </si>
  <si>
    <t>Vp</t>
  </si>
  <si>
    <t>Tiempo de llegada ondas P identificado</t>
  </si>
  <si>
    <t>(-)</t>
  </si>
  <si>
    <t>Tp(s)</t>
  </si>
  <si>
    <r>
      <rPr>
        <b/>
        <sz val="10"/>
        <color indexed="8"/>
        <rFont val="Arial"/>
        <family val="2"/>
      </rPr>
      <t>v</t>
    </r>
    <r>
      <rPr>
        <b/>
        <vertAlign val="subscript"/>
        <sz val="10"/>
        <color indexed="8"/>
        <rFont val="Arial"/>
        <family val="2"/>
      </rPr>
      <t>final</t>
    </r>
  </si>
  <si>
    <t>(Vp/Vs)final</t>
  </si>
  <si>
    <t>ΔTp (Ti-Ti-1)</t>
  </si>
  <si>
    <t>Distancia diagonal desde la fuente hasta la profundidad de ensayo</t>
  </si>
  <si>
    <r>
      <rPr>
        <sz val="11"/>
        <color theme="1"/>
        <rFont val="Calibri"/>
        <family val="2"/>
      </rPr>
      <t>γ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(kN/m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</si>
  <si>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N.F</t>
    </r>
    <r>
      <rPr>
        <vertAlign val="subscript"/>
        <sz val="10"/>
        <color theme="1"/>
        <rFont val="Arial"/>
        <family val="2"/>
      </rPr>
      <t>PT</t>
    </r>
    <r>
      <rPr>
        <sz val="10"/>
        <color theme="1"/>
        <rFont val="Arial"/>
        <family val="2"/>
      </rPr>
      <t>(m)</t>
    </r>
  </si>
  <si>
    <r>
      <t>g(m/s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</si>
  <si>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SPT </t>
    </r>
    <r>
      <rPr>
        <sz val="11"/>
        <color theme="1"/>
        <rFont val="Calibri"/>
        <family val="2"/>
        <scheme val="minor"/>
      </rPr>
      <t>(%)</t>
    </r>
  </si>
  <si>
    <t>a</t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</si>
  <si>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60 </t>
    </r>
    <r>
      <rPr>
        <sz val="11"/>
        <color theme="1"/>
        <rFont val="Calibri"/>
        <family val="2"/>
        <scheme val="minor"/>
      </rPr>
      <t>(%)</t>
    </r>
  </si>
  <si>
    <t>pa (kPa)</t>
  </si>
  <si>
    <t>GEC5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</si>
  <si>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 xml:space="preserve">med </t>
    </r>
    <r>
      <rPr>
        <b/>
        <sz val="11"/>
        <color theme="1"/>
        <rFont val="Calibri"/>
        <family val="2"/>
        <scheme val="minor"/>
      </rPr>
      <t xml:space="preserve">(m) 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</si>
  <si>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campo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</si>
  <si>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60</t>
    </r>
  </si>
  <si>
    <r>
      <rPr>
        <b/>
        <sz val="11"/>
        <color theme="1"/>
        <rFont val="Calibri"/>
        <family val="2"/>
      </rPr>
      <t>γ</t>
    </r>
    <r>
      <rPr>
        <b/>
        <vertAlign val="sub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(kN/m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</si>
  <si>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0"/>
        <color theme="1"/>
        <rFont val="Calibri"/>
        <family val="2"/>
      </rPr>
      <t>Δ</t>
    </r>
    <r>
      <rPr>
        <b/>
        <sz val="10"/>
        <color theme="1"/>
        <rFont val="Arial"/>
        <family val="2"/>
      </rPr>
      <t>σ</t>
    </r>
    <r>
      <rPr>
        <b/>
        <vertAlign val="subscript"/>
        <sz val="10"/>
        <color theme="1"/>
        <rFont val="Arial"/>
        <family val="2"/>
      </rPr>
      <t>tot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</si>
  <si>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σ</t>
    </r>
    <r>
      <rPr>
        <b/>
        <vertAlign val="subscript"/>
        <sz val="10"/>
        <color theme="1"/>
        <rFont val="Arial"/>
        <family val="2"/>
      </rPr>
      <t>vtot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</si>
  <si>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U</t>
    </r>
    <r>
      <rPr>
        <b/>
        <vertAlign val="subscript"/>
        <sz val="10"/>
        <rFont val="Arial"/>
        <family val="2"/>
      </rPr>
      <t xml:space="preserve">o </t>
    </r>
    <r>
      <rPr>
        <b/>
        <sz val="10"/>
        <rFont val="Arial"/>
        <family val="2"/>
      </rPr>
      <t>(kpa)</t>
    </r>
  </si>
  <si>
    <r>
      <t>σ'</t>
    </r>
    <r>
      <rPr>
        <b/>
        <vertAlign val="subscript"/>
        <sz val="10"/>
        <color theme="1"/>
        <rFont val="Arial"/>
        <family val="2"/>
      </rPr>
      <t>v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</si>
  <si>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G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(kPa)</t>
    </r>
  </si>
  <si>
    <r>
      <t xml:space="preserve">Vs </t>
    </r>
    <r>
      <rPr>
        <b/>
        <vertAlign val="subscript"/>
        <sz val="11"/>
        <color theme="1"/>
        <rFont val="Calibri"/>
        <family val="2"/>
        <scheme val="minor"/>
      </rPr>
      <t>GEC</t>
    </r>
    <r>
      <rPr>
        <b/>
        <sz val="11"/>
        <color theme="1"/>
        <rFont val="Calibri"/>
        <family val="2"/>
        <scheme val="minor"/>
      </rPr>
      <t xml:space="preserve"> (m/s)</t>
    </r>
  </si>
  <si>
    <t>INTERPRETÓ:</t>
  </si>
  <si>
    <t>FECHA DE MEDICIÓN:</t>
  </si>
  <si>
    <t>PROFUNDIDAD ENSAYO (m)</t>
  </si>
  <si>
    <t>WWW.JEOPROBE.COM</t>
  </si>
  <si>
    <t>Responsable:</t>
  </si>
  <si>
    <t xml:space="preserve">1130-01 Vertimientos 5 y 6 Campo Rubiales </t>
  </si>
  <si>
    <t>Seringtec</t>
  </si>
  <si>
    <t>JS/AR</t>
  </si>
  <si>
    <t>JJ</t>
  </si>
  <si>
    <t>SONDEO 1 - V6</t>
  </si>
  <si>
    <t>1130-01</t>
  </si>
  <si>
    <t>ORDEN DE SERVICIO:</t>
  </si>
  <si>
    <r>
      <t>z</t>
    </r>
    <r>
      <rPr>
        <b/>
        <vertAlign val="subscript"/>
        <sz val="11"/>
        <color theme="1"/>
        <rFont val="Arial"/>
        <family val="2"/>
      </rPr>
      <t>max</t>
    </r>
    <r>
      <rPr>
        <b/>
        <sz val="11"/>
        <color theme="1"/>
        <rFont val="Arial"/>
        <family val="2"/>
      </rPr>
      <t>(m)</t>
    </r>
  </si>
  <si>
    <t>INVERSIÓN</t>
  </si>
  <si>
    <t>LOCALIZACION GENERAL ENSAYO DOWNHOLE</t>
  </si>
  <si>
    <t>REGISTRO FOTOGRAFICO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</si>
</sst>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00"/>
  </numFmts>
  <fonts count="5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b/>
      <u/>
      <sz val="12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6"/>
      <color indexed="8"/>
      <name val="Arial"/>
      <family val="2"/>
    </font>
    <font>
      <b/>
      <sz val="12"/>
      <color indexed="8"/>
      <name val="Arial"/>
      <family val="2"/>
    </font>
    <font>
      <sz val="12"/>
      <color theme="1"/>
      <name val="Arial"/>
      <family val="2"/>
    </font>
    <font>
      <b/>
      <sz val="11"/>
      <color indexed="8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theme="1"/>
      <name val="Arial"/>
      <family val="2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b/>
      <vertAlign val="subscript"/>
      <sz val="10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indexed="8"/>
      <name val="Arial"/>
      <family val="2"/>
    </font>
    <font>
      <b/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1"/>
      <color indexed="8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1" fillId="0" borderId="13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3" fillId="0" borderId="15" applyNumberFormat="0" applyFill="0" applyAlignment="0" applyProtection="0"/>
    <xf numFmtId="0" fontId="24" fillId="0" borderId="16" applyNumberFormat="0" applyFill="0" applyAlignment="0" applyProtection="0"/>
    <xf numFmtId="0" fontId="24" fillId="0" borderId="0" applyNumberFormat="0" applyFill="0" applyBorder="0" applyAlignment="0" applyProtection="0"/>
    <xf numFmtId="0" fontId="25" fillId="3" borderId="0" applyNumberFormat="0" applyBorder="0" applyAlignment="0" applyProtection="0"/>
    <xf numFmtId="0" fontId="26" fillId="4" borderId="0" applyNumberFormat="0" applyBorder="0" applyAlignment="0" applyProtection="0"/>
    <xf numFmtId="0" fontId="27" fillId="5" borderId="0" applyNumberFormat="0" applyBorder="0" applyAlignment="0" applyProtection="0"/>
    <xf numFmtId="0" fontId="28" fillId="6" borderId="17" applyNumberFormat="0" applyAlignment="0" applyProtection="0"/>
    <xf numFmtId="0" fontId="29" fillId="7" borderId="18" applyNumberFormat="0" applyAlignment="0" applyProtection="0"/>
    <xf numFmtId="0" fontId="30" fillId="7" borderId="17" applyNumberFormat="0" applyAlignment="0" applyProtection="0"/>
    <xf numFmtId="0" fontId="31" fillId="0" borderId="19" applyNumberFormat="0" applyFill="0" applyAlignment="0" applyProtection="0"/>
    <xf numFmtId="0" fontId="32" fillId="8" borderId="20" applyNumberFormat="0" applyAlignment="0" applyProtection="0"/>
    <xf numFmtId="0" fontId="33" fillId="0" borderId="0" applyNumberFormat="0" applyFill="0" applyBorder="0" applyAlignment="0" applyProtection="0"/>
    <xf numFmtId="0" fontId="20" fillId="9" borderId="21" applyNumberFormat="0" applyFont="0" applyAlignment="0" applyProtection="0"/>
    <xf numFmtId="0" fontId="34" fillId="0" borderId="0" applyNumberFormat="0" applyFill="0" applyBorder="0" applyAlignment="0" applyProtection="0"/>
    <xf numFmtId="0" fontId="35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0" fontId="35" fillId="33" borderId="0" applyNumberFormat="0" applyBorder="0" applyAlignment="0" applyProtection="0"/>
    <xf numFmtId="9" fontId="20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172">
    <xf numFmtId="0" fontId="0" fillId="0" borderId="0" xfId="0"/>
    <xf numFmtId="0" fontId="3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1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1" fontId="0" fillId="0" borderId="0" xfId="0" applyNumberFormat="1"/>
    <xf numFmtId="0" fontId="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5" fillId="0" borderId="0" xfId="0" applyNumberFormat="1" applyFont="1" applyAlignment="1">
      <alignment horizontal="center"/>
    </xf>
    <xf numFmtId="0" fontId="12" fillId="0" borderId="5" xfId="0" applyFont="1" applyBorder="1" applyAlignment="1">
      <alignment horizontal="center"/>
    </xf>
    <xf numFmtId="2" fontId="8" fillId="2" borderId="5" xfId="0" applyNumberFormat="1" applyFont="1" applyFill="1" applyBorder="1" applyAlignment="1">
      <alignment horizontal="center"/>
    </xf>
    <xf numFmtId="166" fontId="8" fillId="2" borderId="5" xfId="0" applyNumberFormat="1" applyFont="1" applyFill="1" applyBorder="1" applyAlignment="1">
      <alignment horizontal="center"/>
    </xf>
    <xf numFmtId="1" fontId="8" fillId="2" borderId="5" xfId="0" applyNumberFormat="1" applyFont="1" applyFill="1" applyBorder="1" applyAlignment="1">
      <alignment horizontal="center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/>
    </xf>
    <xf numFmtId="165" fontId="0" fillId="0" borderId="0" xfId="0" applyNumberFormat="1" applyAlignment="1">
      <alignment horizontal="right"/>
    </xf>
    <xf numFmtId="2" fontId="5" fillId="0" borderId="0" xfId="0" applyNumberFormat="1" applyFont="1" applyAlignment="1">
      <alignment horizontal="center" vertical="center" wrapText="1"/>
    </xf>
    <xf numFmtId="4" fontId="5" fillId="0" borderId="0" xfId="0" applyNumberFormat="1" applyFont="1" applyAlignment="1">
      <alignment horizontal="center"/>
    </xf>
    <xf numFmtId="1" fontId="48" fillId="0" borderId="0" xfId="0" applyNumberFormat="1" applyFont="1" applyAlignment="1">
      <alignment horizontal="center"/>
    </xf>
    <xf numFmtId="2" fontId="8" fillId="2" borderId="6" xfId="0" applyNumberFormat="1" applyFont="1" applyFill="1" applyBorder="1" applyAlignment="1">
      <alignment horizontal="center"/>
    </xf>
    <xf numFmtId="166" fontId="8" fillId="2" borderId="6" xfId="0" applyNumberFormat="1" applyFont="1" applyFill="1" applyBorder="1" applyAlignment="1">
      <alignment horizontal="center"/>
    </xf>
    <xf numFmtId="1" fontId="8" fillId="2" borderId="6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5" fillId="34" borderId="0" xfId="1" applyFont="1" applyFill="1" applyBorder="1" applyAlignment="1">
      <alignment horizontal="center"/>
    </xf>
    <xf numFmtId="165" fontId="5" fillId="34" borderId="0" xfId="1" applyNumberFormat="1" applyFont="1" applyFill="1" applyBorder="1" applyAlignment="1">
      <alignment horizontal="center"/>
    </xf>
    <xf numFmtId="0" fontId="5" fillId="34" borderId="0" xfId="0" applyFont="1" applyFill="1" applyAlignment="1">
      <alignment horizontal="center"/>
    </xf>
    <xf numFmtId="165" fontId="5" fillId="34" borderId="0" xfId="0" applyNumberFormat="1" applyFont="1" applyFill="1" applyAlignment="1">
      <alignment horizontal="center"/>
    </xf>
    <xf numFmtId="0" fontId="0" fillId="34" borderId="0" xfId="0" applyFill="1"/>
    <xf numFmtId="9" fontId="0" fillId="34" borderId="0" xfId="42" applyFont="1" applyFill="1" applyAlignment="1">
      <alignment horizontal="center"/>
    </xf>
    <xf numFmtId="0" fontId="0" fillId="34" borderId="0" xfId="0" applyFill="1" applyAlignment="1">
      <alignment horizontal="center"/>
    </xf>
    <xf numFmtId="165" fontId="1" fillId="34" borderId="24" xfId="0" applyNumberFormat="1" applyFont="1" applyFill="1" applyBorder="1" applyAlignment="1">
      <alignment horizontal="center" vertical="center" wrapText="1"/>
    </xf>
    <xf numFmtId="1" fontId="0" fillId="34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2" fontId="5" fillId="34" borderId="0" xfId="0" applyNumberFormat="1" applyFont="1" applyFill="1" applyAlignment="1">
      <alignment horizontal="center" vertical="center" wrapText="1"/>
    </xf>
    <xf numFmtId="4" fontId="5" fillId="34" borderId="0" xfId="0" applyNumberFormat="1" applyFont="1" applyFill="1" applyAlignment="1">
      <alignment horizontal="center"/>
    </xf>
    <xf numFmtId="11" fontId="0" fillId="34" borderId="0" xfId="0" applyNumberFormat="1" applyFill="1"/>
    <xf numFmtId="1" fontId="48" fillId="34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2" fontId="8" fillId="2" borderId="0" xfId="0" applyNumberFormat="1" applyFont="1" applyFill="1" applyAlignment="1">
      <alignment horizontal="center"/>
    </xf>
    <xf numFmtId="166" fontId="8" fillId="2" borderId="0" xfId="0" applyNumberFormat="1" applyFont="1" applyFill="1" applyAlignment="1">
      <alignment horizontal="center"/>
    </xf>
    <xf numFmtId="167" fontId="8" fillId="2" borderId="0" xfId="0" applyNumberFormat="1" applyFont="1" applyFill="1" applyAlignment="1">
      <alignment horizontal="center"/>
    </xf>
    <xf numFmtId="1" fontId="8" fillId="2" borderId="0" xfId="0" applyNumberFormat="1" applyFont="1" applyFill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0" xfId="0" applyFont="1" applyAlignment="1">
      <alignment horizontal="center"/>
    </xf>
    <xf numFmtId="165" fontId="5" fillId="35" borderId="0" xfId="0" applyNumberFormat="1" applyFont="1" applyFill="1" applyAlignment="1">
      <alignment horizontal="center" vertical="center"/>
    </xf>
    <xf numFmtId="0" fontId="12" fillId="0" borderId="3" xfId="0" applyFont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12" fillId="0" borderId="12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left" vertical="center"/>
    </xf>
    <xf numFmtId="0" fontId="10" fillId="2" borderId="9" xfId="0" applyFont="1" applyFill="1" applyBorder="1" applyAlignment="1">
      <alignment vertical="center" wrapText="1"/>
    </xf>
    <xf numFmtId="0" fontId="11" fillId="2" borderId="9" xfId="0" applyFont="1" applyFill="1" applyBorder="1" applyAlignment="1">
      <alignment vertical="center"/>
    </xf>
    <xf numFmtId="0" fontId="7" fillId="2" borderId="4" xfId="0" applyFont="1" applyFill="1" applyBorder="1" applyAlignment="1">
      <alignment horizontal="left"/>
    </xf>
    <xf numFmtId="0" fontId="7" fillId="0" borderId="4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167" fontId="8" fillId="2" borderId="5" xfId="0" applyNumberFormat="1" applyFont="1" applyFill="1" applyBorder="1" applyAlignment="1">
      <alignment horizontal="center"/>
    </xf>
    <xf numFmtId="167" fontId="8" fillId="2" borderId="6" xfId="0" applyNumberFormat="1" applyFont="1" applyFill="1" applyBorder="1" applyAlignment="1">
      <alignment horizontal="center"/>
    </xf>
    <xf numFmtId="0" fontId="2" fillId="36" borderId="1" xfId="0" applyFont="1" applyFill="1" applyBorder="1" applyAlignment="1">
      <alignment horizontal="center" vertical="center" wrapText="1"/>
    </xf>
    <xf numFmtId="0" fontId="0" fillId="36" borderId="0" xfId="0" applyFill="1"/>
    <xf numFmtId="165" fontId="8" fillId="2" borderId="0" xfId="0" applyNumberFormat="1" applyFont="1" applyFill="1" applyAlignment="1">
      <alignment horizontal="center" vertical="center"/>
    </xf>
    <xf numFmtId="0" fontId="9" fillId="2" borderId="0" xfId="0" applyFont="1" applyFill="1"/>
    <xf numFmtId="1" fontId="8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2" borderId="26" xfId="0" applyFont="1" applyFill="1" applyBorder="1" applyAlignment="1">
      <alignment horizontal="left"/>
    </xf>
    <xf numFmtId="0" fontId="11" fillId="2" borderId="10" xfId="0" applyFont="1" applyFill="1" applyBorder="1" applyAlignment="1">
      <alignment vertical="center"/>
    </xf>
    <xf numFmtId="0" fontId="11" fillId="2" borderId="11" xfId="0" applyFont="1" applyFill="1" applyBorder="1" applyAlignment="1">
      <alignment vertical="center"/>
    </xf>
    <xf numFmtId="0" fontId="8" fillId="2" borderId="0" xfId="0" applyFont="1" applyFill="1" applyAlignment="1">
      <alignment vertical="center" wrapText="1"/>
    </xf>
    <xf numFmtId="0" fontId="15" fillId="0" borderId="12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7" xfId="0" applyFont="1" applyBorder="1"/>
    <xf numFmtId="0" fontId="15" fillId="0" borderId="8" xfId="0" applyFont="1" applyBorder="1"/>
    <xf numFmtId="0" fontId="15" fillId="0" borderId="2" xfId="0" applyFont="1" applyBorder="1"/>
    <xf numFmtId="0" fontId="15" fillId="0" borderId="0" xfId="0" applyFont="1" applyAlignment="1">
      <alignment horizontal="center"/>
    </xf>
    <xf numFmtId="0" fontId="15" fillId="0" borderId="0" xfId="0" applyFont="1"/>
    <xf numFmtId="0" fontId="15" fillId="0" borderId="4" xfId="0" applyFont="1" applyBorder="1" applyAlignment="1">
      <alignment horizontal="center"/>
    </xf>
    <xf numFmtId="0" fontId="15" fillId="0" borderId="9" xfId="0" applyFont="1" applyBorder="1"/>
    <xf numFmtId="0" fontId="50" fillId="0" borderId="0" xfId="0" applyFont="1" applyAlignment="1">
      <alignment vertical="center"/>
    </xf>
    <xf numFmtId="0" fontId="50" fillId="0" borderId="9" xfId="0" applyFont="1" applyBorder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43" applyFont="1" applyBorder="1" applyAlignment="1">
      <alignment horizontal="center"/>
    </xf>
    <xf numFmtId="0" fontId="52" fillId="0" borderId="0" xfId="0" applyFont="1" applyAlignment="1">
      <alignment horizontal="center"/>
    </xf>
    <xf numFmtId="2" fontId="15" fillId="0" borderId="9" xfId="0" applyNumberFormat="1" applyFont="1" applyBorder="1"/>
    <xf numFmtId="2" fontId="15" fillId="2" borderId="9" xfId="0" applyNumberFormat="1" applyFont="1" applyFill="1" applyBorder="1"/>
    <xf numFmtId="0" fontId="52" fillId="0" borderId="4" xfId="0" applyFont="1" applyBorder="1" applyAlignment="1">
      <alignment horizontal="left"/>
    </xf>
    <xf numFmtId="0" fontId="15" fillId="2" borderId="0" xfId="0" applyFont="1" applyFill="1" applyAlignment="1">
      <alignment horizontal="center"/>
    </xf>
    <xf numFmtId="0" fontId="15" fillId="0" borderId="10" xfId="0" applyFont="1" applyBorder="1" applyAlignment="1">
      <alignment horizontal="center"/>
    </xf>
    <xf numFmtId="0" fontId="52" fillId="0" borderId="0" xfId="0" applyFont="1"/>
    <xf numFmtId="0" fontId="15" fillId="2" borderId="7" xfId="0" applyFont="1" applyFill="1" applyBorder="1" applyAlignment="1">
      <alignment horizontal="center"/>
    </xf>
    <xf numFmtId="164" fontId="15" fillId="2" borderId="7" xfId="0" applyNumberFormat="1" applyFont="1" applyFill="1" applyBorder="1" applyAlignment="1">
      <alignment horizontal="center"/>
    </xf>
    <xf numFmtId="0" fontId="15" fillId="2" borderId="7" xfId="0" applyFont="1" applyFill="1" applyBorder="1"/>
    <xf numFmtId="0" fontId="15" fillId="2" borderId="8" xfId="0" applyFont="1" applyFill="1" applyBorder="1"/>
    <xf numFmtId="11" fontId="15" fillId="0" borderId="0" xfId="0" applyNumberFormat="1" applyFont="1"/>
    <xf numFmtId="11" fontId="15" fillId="0" borderId="0" xfId="0" applyNumberFormat="1" applyFont="1" applyAlignment="1">
      <alignment horizontal="center"/>
    </xf>
    <xf numFmtId="164" fontId="15" fillId="2" borderId="0" xfId="0" applyNumberFormat="1" applyFont="1" applyFill="1" applyAlignment="1">
      <alignment horizontal="center"/>
    </xf>
    <xf numFmtId="0" fontId="15" fillId="2" borderId="0" xfId="0" applyFont="1" applyFill="1"/>
    <xf numFmtId="0" fontId="15" fillId="2" borderId="9" xfId="0" applyFont="1" applyFill="1" applyBorder="1"/>
    <xf numFmtId="1" fontId="52" fillId="0" borderId="0" xfId="0" applyNumberFormat="1" applyFont="1" applyAlignment="1">
      <alignment horizontal="center"/>
    </xf>
    <xf numFmtId="1" fontId="15" fillId="0" borderId="0" xfId="0" applyNumberFormat="1" applyFont="1"/>
    <xf numFmtId="165" fontId="15" fillId="0" borderId="0" xfId="0" applyNumberFormat="1" applyFont="1" applyAlignment="1">
      <alignment horizontal="center"/>
    </xf>
    <xf numFmtId="2" fontId="15" fillId="0" borderId="0" xfId="0" applyNumberFormat="1" applyFont="1" applyAlignment="1">
      <alignment horizontal="center"/>
    </xf>
    <xf numFmtId="166" fontId="15" fillId="0" borderId="0" xfId="0" applyNumberFormat="1" applyFont="1" applyAlignment="1">
      <alignment horizontal="center"/>
    </xf>
    <xf numFmtId="0" fontId="15" fillId="0" borderId="26" xfId="0" applyFont="1" applyBorder="1" applyAlignment="1">
      <alignment horizontal="center"/>
    </xf>
    <xf numFmtId="0" fontId="15" fillId="0" borderId="10" xfId="0" applyFont="1" applyBorder="1"/>
    <xf numFmtId="0" fontId="15" fillId="0" borderId="11" xfId="0" applyFont="1" applyBorder="1"/>
    <xf numFmtId="14" fontId="8" fillId="2" borderId="0" xfId="0" applyNumberFormat="1" applyFont="1" applyFill="1" applyAlignment="1">
      <alignment vertical="center"/>
    </xf>
    <xf numFmtId="2" fontId="8" fillId="2" borderId="8" xfId="0" applyNumberFormat="1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57" fillId="2" borderId="6" xfId="0" applyFont="1" applyFill="1" applyBorder="1" applyAlignment="1">
      <alignment horizontal="center"/>
    </xf>
    <xf numFmtId="2" fontId="57" fillId="2" borderId="9" xfId="0" applyNumberFormat="1" applyFont="1" applyFill="1" applyBorder="1" applyAlignment="1">
      <alignment horizontal="center"/>
    </xf>
    <xf numFmtId="166" fontId="57" fillId="2" borderId="6" xfId="0" applyNumberFormat="1" applyFont="1" applyFill="1" applyBorder="1" applyAlignment="1">
      <alignment horizontal="center"/>
    </xf>
    <xf numFmtId="167" fontId="57" fillId="2" borderId="6" xfId="0" applyNumberFormat="1" applyFont="1" applyFill="1" applyBorder="1" applyAlignment="1">
      <alignment horizontal="center"/>
    </xf>
    <xf numFmtId="1" fontId="57" fillId="2" borderId="6" xfId="0" applyNumberFormat="1" applyFont="1" applyFill="1" applyBorder="1" applyAlignment="1">
      <alignment horizontal="center"/>
    </xf>
    <xf numFmtId="2" fontId="57" fillId="2" borderId="6" xfId="0" applyNumberFormat="1" applyFont="1" applyFill="1" applyBorder="1" applyAlignment="1">
      <alignment horizontal="center"/>
    </xf>
    <xf numFmtId="0" fontId="57" fillId="2" borderId="27" xfId="0" applyFont="1" applyFill="1" applyBorder="1" applyAlignment="1">
      <alignment horizontal="center"/>
    </xf>
    <xf numFmtId="2" fontId="57" fillId="2" borderId="11" xfId="0" applyNumberFormat="1" applyFont="1" applyFill="1" applyBorder="1" applyAlignment="1">
      <alignment horizontal="center"/>
    </xf>
    <xf numFmtId="166" fontId="57" fillId="2" borderId="27" xfId="0" applyNumberFormat="1" applyFont="1" applyFill="1" applyBorder="1" applyAlignment="1">
      <alignment horizontal="center"/>
    </xf>
    <xf numFmtId="167" fontId="57" fillId="2" borderId="27" xfId="0" applyNumberFormat="1" applyFont="1" applyFill="1" applyBorder="1" applyAlignment="1">
      <alignment horizontal="center"/>
    </xf>
    <xf numFmtId="1" fontId="57" fillId="2" borderId="27" xfId="0" applyNumberFormat="1" applyFont="1" applyFill="1" applyBorder="1" applyAlignment="1">
      <alignment horizontal="center"/>
    </xf>
    <xf numFmtId="2" fontId="57" fillId="2" borderId="27" xfId="0" applyNumberFormat="1" applyFont="1" applyFill="1" applyBorder="1" applyAlignment="1">
      <alignment horizontal="center"/>
    </xf>
    <xf numFmtId="0" fontId="56" fillId="2" borderId="22" xfId="0" applyFont="1" applyFill="1" applyBorder="1" applyAlignment="1">
      <alignment horizontal="center"/>
    </xf>
    <xf numFmtId="0" fontId="56" fillId="2" borderId="25" xfId="0" applyFont="1" applyFill="1" applyBorder="1" applyAlignment="1">
      <alignment horizontal="center"/>
    </xf>
    <xf numFmtId="166" fontId="56" fillId="2" borderId="22" xfId="0" applyNumberFormat="1" applyFont="1" applyFill="1" applyBorder="1" applyAlignment="1">
      <alignment horizontal="center"/>
    </xf>
    <xf numFmtId="166" fontId="56" fillId="2" borderId="25" xfId="0" applyNumberFormat="1" applyFont="1" applyFill="1" applyBorder="1" applyAlignment="1">
      <alignment horizontal="center"/>
    </xf>
    <xf numFmtId="166" fontId="56" fillId="2" borderId="23" xfId="0" applyNumberFormat="1" applyFont="1" applyFill="1" applyBorder="1" applyAlignment="1">
      <alignment horizontal="center"/>
    </xf>
    <xf numFmtId="0" fontId="12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55" fillId="2" borderId="0" xfId="0" applyFont="1" applyFill="1" applyAlignment="1">
      <alignment horizontal="center"/>
    </xf>
    <xf numFmtId="0" fontId="55" fillId="2" borderId="10" xfId="0" applyFont="1" applyFill="1" applyBorder="1" applyAlignment="1">
      <alignment horizontal="center"/>
    </xf>
    <xf numFmtId="0" fontId="56" fillId="2" borderId="12" xfId="0" applyFont="1" applyFill="1" applyBorder="1" applyAlignment="1">
      <alignment horizontal="center"/>
    </xf>
    <xf numFmtId="0" fontId="56" fillId="2" borderId="7" xfId="0" applyFont="1" applyFill="1" applyBorder="1" applyAlignment="1">
      <alignment horizontal="center"/>
    </xf>
    <xf numFmtId="0" fontId="56" fillId="2" borderId="8" xfId="0" applyFont="1" applyFill="1" applyBorder="1" applyAlignment="1">
      <alignment horizontal="center"/>
    </xf>
    <xf numFmtId="0" fontId="7" fillId="2" borderId="0" xfId="0" applyFont="1" applyFill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51" fillId="0" borderId="0" xfId="43" applyFont="1" applyBorder="1" applyAlignment="1">
      <alignment horizontal="center"/>
    </xf>
    <xf numFmtId="0" fontId="52" fillId="0" borderId="0" xfId="0" applyFont="1" applyAlignment="1">
      <alignment horizontal="center"/>
    </xf>
    <xf numFmtId="0" fontId="8" fillId="2" borderId="0" xfId="0" applyFont="1" applyFill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53" fillId="2" borderId="22" xfId="0" applyFont="1" applyFill="1" applyBorder="1" applyAlignment="1">
      <alignment horizontal="center"/>
    </xf>
    <xf numFmtId="0" fontId="53" fillId="2" borderId="25" xfId="0" applyFont="1" applyFill="1" applyBorder="1" applyAlignment="1">
      <alignment horizontal="center"/>
    </xf>
    <xf numFmtId="0" fontId="53" fillId="2" borderId="23" xfId="0" applyFont="1" applyFill="1" applyBorder="1" applyAlignment="1">
      <alignment horizontal="center"/>
    </xf>
    <xf numFmtId="0" fontId="0" fillId="0" borderId="3" xfId="0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2" builtinId="5"/>
    <cellStyle name="Title" xfId="2" builtinId="15" customBuiltin="1"/>
    <cellStyle name="Total" xfId="1" builtinId="25" customBuiltin="1"/>
    <cellStyle name="Warning Text" xfId="15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03945280478944"/>
          <c:y val="9.5157305818008228E-2"/>
          <c:w val="0.78854499921034227"/>
          <c:h val="0.82106785401546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Analisis!$B$6</c:f>
              <c:strCache>
                <c:ptCount val="1"/>
                <c:pt idx="0">
                  <c:v>Vs From GEOGIGA</c:v>
                </c:pt>
              </c:strCache>
            </c:strRef>
          </c:tx>
          <c:marker>
            <c:symbol val="none"/>
          </c:marker>
          <c:xVal>
            <c:numRef>
              <c:f>Analisis!$B$7:$B$100</c:f>
              <c:numCache>
                <c:formatCode>General</c:formatCode>
                <c:ptCount val="94"/>
                <c:pt idx="0">
                  <c:v>131.5</c:v>
                </c:pt>
                <c:pt idx="1">
                  <c:v>271</c:v>
                </c:pt>
                <c:pt idx="2">
                  <c:v>315.89999999999998</c:v>
                </c:pt>
                <c:pt idx="3">
                  <c:v>330</c:v>
                </c:pt>
                <c:pt idx="4">
                  <c:v>335.6</c:v>
                </c:pt>
                <c:pt idx="5">
                  <c:v>338.3</c:v>
                </c:pt>
                <c:pt idx="6">
                  <c:v>361.6</c:v>
                </c:pt>
                <c:pt idx="7">
                  <c:v>362.6</c:v>
                </c:pt>
                <c:pt idx="8">
                  <c:v>363.3</c:v>
                </c:pt>
                <c:pt idx="9">
                  <c:v>363.7</c:v>
                </c:pt>
                <c:pt idx="10">
                  <c:v>474.6</c:v>
                </c:pt>
                <c:pt idx="11">
                  <c:v>475.1</c:v>
                </c:pt>
                <c:pt idx="12">
                  <c:v>475.5</c:v>
                </c:pt>
                <c:pt idx="13">
                  <c:v>475.7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52-42D6-AD3E-896837023226}"/>
            </c:ext>
          </c:extLst>
        </c:ser>
        <c:ser>
          <c:idx val="1"/>
          <c:order val="1"/>
          <c:tx>
            <c:strRef>
              <c:f>Analisis!$J$6</c:f>
              <c:strCache>
                <c:ptCount val="1"/>
                <c:pt idx="0">
                  <c:v>Vs final smoothed</c:v>
                </c:pt>
              </c:strCache>
            </c:strRef>
          </c:tx>
          <c:marker>
            <c:symbol val="none"/>
          </c:marker>
          <c:xVal>
            <c:numRef>
              <c:f>Analisis!$J$7:$J$100</c:f>
              <c:numCache>
                <c:formatCode>0</c:formatCode>
                <c:ptCount val="94"/>
                <c:pt idx="0">
                  <c:v>149.35929435856536</c:v>
                </c:pt>
                <c:pt idx="1">
                  <c:v>255.77905704327918</c:v>
                </c:pt>
                <c:pt idx="2">
                  <c:v>314.95509230135383</c:v>
                </c:pt>
                <c:pt idx="3">
                  <c:v>328.81489268839562</c:v>
                </c:pt>
                <c:pt idx="4">
                  <c:v>334.75464283804376</c:v>
                </c:pt>
                <c:pt idx="5">
                  <c:v>342.00074103921401</c:v>
                </c:pt>
                <c:pt idx="6">
                  <c:v>357.28249525786339</c:v>
                </c:pt>
                <c:pt idx="7">
                  <c:v>364.8317863461628</c:v>
                </c:pt>
                <c:pt idx="8">
                  <c:v>359.05615786979962</c:v>
                </c:pt>
                <c:pt idx="9">
                  <c:v>382.26057095498822</c:v>
                </c:pt>
                <c:pt idx="10">
                  <c:v>456.04659909289717</c:v>
                </c:pt>
                <c:pt idx="11">
                  <c:v>479.32336411672759</c:v>
                </c:pt>
                <c:pt idx="12">
                  <c:v>473.17042188465433</c:v>
                </c:pt>
                <c:pt idx="13">
                  <c:v>480.24929998912711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52-42D6-AD3E-89683702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36136"/>
        <c:axId val="132332216"/>
      </c:scatterChart>
      <c:valAx>
        <c:axId val="132336136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Vs(m/s)</a:t>
                </a:r>
              </a:p>
            </c:rich>
          </c:tx>
          <c:layout>
            <c:manualLayout>
              <c:xMode val="edge"/>
              <c:yMode val="edge"/>
              <c:x val="0.47183275702133604"/>
              <c:y val="1.0120422954656899E-2"/>
            </c:manualLayout>
          </c:layout>
          <c:overlay val="0"/>
        </c:title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32332216"/>
        <c:crosses val="autoZero"/>
        <c:crossBetween val="midCat"/>
      </c:valAx>
      <c:valAx>
        <c:axId val="132332216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layout>
            <c:manualLayout>
              <c:xMode val="edge"/>
              <c:yMode val="edge"/>
              <c:x val="1.1461318051575941E-2"/>
              <c:y val="0.42590257458494091"/>
            </c:manualLayout>
          </c:layout>
          <c:overlay val="0"/>
        </c:title>
        <c:numFmt formatCode="0" sourceLinked="0"/>
        <c:majorTickMark val="out"/>
        <c:minorTickMark val="out"/>
        <c:tickLblPos val="nextTo"/>
        <c:txPr>
          <a:bodyPr/>
          <a:lstStyle/>
          <a:p>
            <a:pPr>
              <a:defRPr lang="en-US"/>
            </a:pPr>
            <a:endParaRPr lang="es-CO"/>
          </a:p>
        </c:txPr>
        <c:crossAx val="132336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1.7347802871345956E-2"/>
          <c:y val="0.91969950184798333"/>
          <c:w val="0.9214683121629853"/>
          <c:h val="6.4229114217865618E-2"/>
        </c:manualLayout>
      </c:layout>
      <c:overlay val="0"/>
      <c:txPr>
        <a:bodyPr/>
        <a:lstStyle/>
        <a:p>
          <a:pPr>
            <a:defRPr lang="en-US"/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000">
          <a:latin typeface="Arial" pitchFamily="34" charset="0"/>
          <a:cs typeface="Arial" pitchFamily="34" charset="0"/>
        </a:defRPr>
      </a:pPr>
      <a:endParaRPr lang="es-CO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7056340828361"/>
          <c:y val="9.7388065968773863E-2"/>
          <c:w val="0.81092593268593638"/>
          <c:h val="0.818837101842483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Analisis!$C$6</c:f>
              <c:strCache>
                <c:ptCount val="1"/>
                <c:pt idx="0">
                  <c:v>Vp From GEOGIGA</c:v>
                </c:pt>
              </c:strCache>
            </c:strRef>
          </c:tx>
          <c:marker>
            <c:symbol val="none"/>
          </c:marker>
          <c:xVal>
            <c:numRef>
              <c:f>Analisis!$C$7:$C$100</c:f>
              <c:numCache>
                <c:formatCode>General</c:formatCode>
                <c:ptCount val="94"/>
                <c:pt idx="0">
                  <c:v>689.1</c:v>
                </c:pt>
                <c:pt idx="1">
                  <c:v>1257.0999999999999</c:v>
                </c:pt>
                <c:pt idx="2">
                  <c:v>1428.6</c:v>
                </c:pt>
                <c:pt idx="3">
                  <c:v>1482.4</c:v>
                </c:pt>
                <c:pt idx="4">
                  <c:v>1504.1</c:v>
                </c:pt>
                <c:pt idx="5">
                  <c:v>1514.6</c:v>
                </c:pt>
                <c:pt idx="6">
                  <c:v>1520.4</c:v>
                </c:pt>
                <c:pt idx="7">
                  <c:v>1523.9</c:v>
                </c:pt>
                <c:pt idx="8">
                  <c:v>1526.1</c:v>
                </c:pt>
                <c:pt idx="9">
                  <c:v>1527.6</c:v>
                </c:pt>
                <c:pt idx="10">
                  <c:v>1528.7</c:v>
                </c:pt>
                <c:pt idx="11">
                  <c:v>1529.5</c:v>
                </c:pt>
                <c:pt idx="12">
                  <c:v>1530.1</c:v>
                </c:pt>
                <c:pt idx="13">
                  <c:v>1530.6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20-4524-BE65-D0FCE0A640E3}"/>
            </c:ext>
          </c:extLst>
        </c:ser>
        <c:ser>
          <c:idx val="1"/>
          <c:order val="1"/>
          <c:tx>
            <c:strRef>
              <c:f>Analisis!$H$6</c:f>
              <c:strCache>
                <c:ptCount val="1"/>
                <c:pt idx="0">
                  <c:v>Vp ajustada</c:v>
                </c:pt>
              </c:strCache>
            </c:strRef>
          </c:tx>
          <c:marker>
            <c:symbol val="none"/>
          </c:marker>
          <c:xVal>
            <c:numRef>
              <c:f>Analisis!$H$7:$H$100</c:f>
              <c:numCache>
                <c:formatCode>0</c:formatCode>
                <c:ptCount val="94"/>
                <c:pt idx="0">
                  <c:v>689.10742790532538</c:v>
                </c:pt>
                <c:pt idx="1">
                  <c:v>1257.089851555394</c:v>
                </c:pt>
                <c:pt idx="2">
                  <c:v>1428.6120628784274</c:v>
                </c:pt>
                <c:pt idx="3">
                  <c:v>1482.3871145336361</c:v>
                </c:pt>
                <c:pt idx="4">
                  <c:v>1504.091139402891</c:v>
                </c:pt>
                <c:pt idx="5">
                  <c:v>1514.6111170919403</c:v>
                </c:pt>
                <c:pt idx="6">
                  <c:v>1520.4173430841711</c:v>
                </c:pt>
                <c:pt idx="7">
                  <c:v>1523.9131067452838</c:v>
                </c:pt>
                <c:pt idx="8">
                  <c:v>1526.108495714511</c:v>
                </c:pt>
                <c:pt idx="9">
                  <c:v>1527.602116691681</c:v>
                </c:pt>
                <c:pt idx="10">
                  <c:v>1528.6916612987807</c:v>
                </c:pt>
                <c:pt idx="11">
                  <c:v>1529.4958324523725</c:v>
                </c:pt>
                <c:pt idx="12">
                  <c:v>1530.0987412666962</c:v>
                </c:pt>
                <c:pt idx="13">
                  <c:v>1530.6013953222352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20-4524-BE65-D0FCE0A640E3}"/>
            </c:ext>
          </c:extLst>
        </c:ser>
        <c:ser>
          <c:idx val="2"/>
          <c:order val="2"/>
          <c:tx>
            <c:strRef>
              <c:f>Analisis!$I$6</c:f>
              <c:strCache>
                <c:ptCount val="1"/>
                <c:pt idx="0">
                  <c:v>Vp final smoothed</c:v>
                </c:pt>
              </c:strCache>
            </c:strRef>
          </c:tx>
          <c:marker>
            <c:symbol val="none"/>
          </c:marker>
          <c:xVal>
            <c:numRef>
              <c:f>Analisis!$I$7:$I$100</c:f>
              <c:numCache>
                <c:formatCode>0</c:formatCode>
                <c:ptCount val="94"/>
                <c:pt idx="0">
                  <c:v>769.26274017447895</c:v>
                </c:pt>
                <c:pt idx="1">
                  <c:v>1190.9365742985813</c:v>
                </c:pt>
                <c:pt idx="2">
                  <c:v>1428.2207420510777</c:v>
                </c:pt>
                <c:pt idx="3">
                  <c:v>1474.7886767798891</c:v>
                </c:pt>
                <c:pt idx="4">
                  <c:v>1505.8150340964021</c:v>
                </c:pt>
                <c:pt idx="5">
                  <c:v>1512.3612349738009</c:v>
                </c:pt>
                <c:pt idx="6">
                  <c:v>1521.4552434944972</c:v>
                </c:pt>
                <c:pt idx="7">
                  <c:v>1522.8606650417707</c:v>
                </c:pt>
                <c:pt idx="8">
                  <c:v>1526.7236353866294</c:v>
                </c:pt>
                <c:pt idx="9">
                  <c:v>1527.0803493869225</c:v>
                </c:pt>
                <c:pt idx="10">
                  <c:v>1528.9215220559495</c:v>
                </c:pt>
                <c:pt idx="11">
                  <c:v>1529.5961251235983</c:v>
                </c:pt>
                <c:pt idx="12">
                  <c:v>1528.8635895371185</c:v>
                </c:pt>
                <c:pt idx="13">
                  <c:v>1539.1998480817952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20-4524-BE65-D0FCE0A64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92568"/>
        <c:axId val="139789824"/>
      </c:scatterChart>
      <c:valAx>
        <c:axId val="13979256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Vp(m/s)</a:t>
                </a:r>
              </a:p>
            </c:rich>
          </c:tx>
          <c:layout>
            <c:manualLayout>
              <c:xMode val="edge"/>
              <c:yMode val="edge"/>
              <c:x val="0.45485309233019811"/>
              <c:y val="1.2206453143823265E-2"/>
            </c:manualLayout>
          </c:layout>
          <c:overlay val="0"/>
        </c:title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39789824"/>
        <c:crosses val="autoZero"/>
        <c:crossBetween val="midCat"/>
      </c:valAx>
      <c:valAx>
        <c:axId val="139789824"/>
        <c:scaling>
          <c:orientation val="maxMin"/>
        </c:scaling>
        <c:delete val="0"/>
        <c:axPos val="l"/>
        <c:majorGridlines/>
        <c:numFmt formatCode="0" sourceLinked="0"/>
        <c:majorTickMark val="out"/>
        <c:minorTickMark val="out"/>
        <c:tickLblPos val="nextTo"/>
        <c:txPr>
          <a:bodyPr/>
          <a:lstStyle/>
          <a:p>
            <a:pPr>
              <a:defRPr lang="en-US"/>
            </a:pPr>
            <a:endParaRPr lang="es-CO"/>
          </a:p>
        </c:txPr>
        <c:crossAx val="139792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2.4362981759139028E-2"/>
          <c:y val="0.92419983277218376"/>
          <c:w val="0.93796906568646754"/>
          <c:h val="7.5800167227818904E-2"/>
        </c:manualLayout>
      </c:layout>
      <c:overlay val="0"/>
      <c:txPr>
        <a:bodyPr/>
        <a:lstStyle/>
        <a:p>
          <a:pPr>
            <a:defRPr lang="en-US"/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000">
          <a:latin typeface="Arial" pitchFamily="34" charset="0"/>
          <a:cs typeface="Arial" pitchFamily="34" charset="0"/>
        </a:defRPr>
      </a:pPr>
      <a:endParaRPr lang="es-CO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s-CO"/>
              <a:t>Tiempo de llegada identificado</a:t>
            </a:r>
          </a:p>
        </c:rich>
      </c:tx>
      <c:layout>
        <c:manualLayout>
          <c:xMode val="edge"/>
          <c:yMode val="edge"/>
          <c:x val="0.24781927237799414"/>
          <c:y val="2.34141413546123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21279940388048252"/>
          <c:w val="0.80788866245606472"/>
          <c:h val="0.734896521522650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Resultados!$D$14</c:f>
              <c:strCache>
                <c:ptCount val="1"/>
                <c:pt idx="0">
                  <c:v>Ts(s)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ln>
                <a:solidFill>
                  <a:srgbClr val="002060"/>
                </a:solidFill>
              </a:ln>
            </c:spPr>
          </c:marker>
          <c:xVal>
            <c:numRef>
              <c:f>Resultados!$D$15:$D$50</c:f>
              <c:numCache>
                <c:formatCode>0.0000</c:formatCode>
                <c:ptCount val="36"/>
                <c:pt idx="0">
                  <c:v>9.4685340369780185E-3</c:v>
                </c:pt>
                <c:pt idx="1">
                  <c:v>1.2681675975286254E-2</c:v>
                </c:pt>
                <c:pt idx="2">
                  <c:v>1.5622443422165247E-2</c:v>
                </c:pt>
                <c:pt idx="3">
                  <c:v>1.854453724095045E-2</c:v>
                </c:pt>
                <c:pt idx="4">
                  <c:v>2.1459848227233846E-2</c:v>
                </c:pt>
                <c:pt idx="5">
                  <c:v>2.4336283563941605E-2</c:v>
                </c:pt>
                <c:pt idx="6">
                  <c:v>2.7102456815317835E-2</c:v>
                </c:pt>
                <c:pt idx="7">
                  <c:v>2.9819297763744965E-2</c:v>
                </c:pt>
                <c:pt idx="8">
                  <c:v>3.2585236651218367E-2</c:v>
                </c:pt>
                <c:pt idx="9">
                  <c:v>3.5186840265472835E-2</c:v>
                </c:pt>
                <c:pt idx="10">
                  <c:v>3.7369699205867191E-2</c:v>
                </c:pt>
                <c:pt idx="11">
                  <c:v>3.9448115649098246E-2</c:v>
                </c:pt>
                <c:pt idx="12">
                  <c:v>4.155477782726795E-2</c:v>
                </c:pt>
                <c:pt idx="13">
                  <c:v>4.3631332727473902E-2</c:v>
                </c:pt>
                <c:pt idx="14">
                  <c:v>#N/A</c:v>
                </c:pt>
              </c:numCache>
            </c:num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10-43BB-80E8-DA6FA723A1A1}"/>
            </c:ext>
          </c:extLst>
        </c:ser>
        <c:ser>
          <c:idx val="1"/>
          <c:order val="1"/>
          <c:tx>
            <c:strRef>
              <c:f>Resultados!$G$14</c:f>
              <c:strCache>
                <c:ptCount val="1"/>
                <c:pt idx="0">
                  <c:v>Tp(s)</c:v>
                </c:pt>
              </c:strCache>
            </c:strRef>
          </c:tx>
          <c:marker>
            <c:symbol val="square"/>
            <c:size val="5"/>
          </c:marker>
          <c:xVal>
            <c:numRef>
              <c:f>Resultados!$G$15:$G$50</c:f>
              <c:numCache>
                <c:formatCode>0.0000</c:formatCode>
                <c:ptCount val="36"/>
                <c:pt idx="0">
                  <c:v>1.8384012230364009E-3</c:v>
                </c:pt>
                <c:pt idx="1">
                  <c:v>2.4921713408684707E-3</c:v>
                </c:pt>
                <c:pt idx="2">
                  <c:v>3.1405051520602598E-3</c:v>
                </c:pt>
                <c:pt idx="3">
                  <c:v>3.788662171386542E-3</c:v>
                </c:pt>
                <c:pt idx="4">
                  <c:v>4.4374979455871428E-3</c:v>
                </c:pt>
                <c:pt idx="5">
                  <c:v>5.0870047570921173E-3</c:v>
                </c:pt>
                <c:pt idx="6">
                  <c:v>5.7370345397593468E-3</c:v>
                </c:pt>
                <c:pt idx="7">
                  <c:v>6.3874643162755707E-3</c:v>
                </c:pt>
                <c:pt idx="8">
                  <c:v>7.0382259897169364E-3</c:v>
                </c:pt>
                <c:pt idx="9">
                  <c:v>7.6892409694128468E-3</c:v>
                </c:pt>
                <c:pt idx="10">
                  <c:v>8.3404383240712962E-3</c:v>
                </c:pt>
                <c:pt idx="11">
                  <c:v>8.9917842290108407E-3</c:v>
                </c:pt>
                <c:pt idx="12">
                  <c:v>9.6432516047464147E-3</c:v>
                </c:pt>
                <c:pt idx="13">
                  <c:v>1.0294802654800577E-2</c:v>
                </c:pt>
                <c:pt idx="14">
                  <c:v>#N/A</c:v>
                </c:pt>
              </c:numCache>
            </c:num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DC-487A-9CE4-41EDA24C6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7080"/>
        <c:axId val="139785904"/>
      </c:scatterChart>
      <c:valAx>
        <c:axId val="139787080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Tiempo (s)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5904"/>
        <c:crosses val="autoZero"/>
        <c:crossBetween val="midCat"/>
      </c:valAx>
      <c:valAx>
        <c:axId val="139785904"/>
        <c:scaling>
          <c:orientation val="maxMin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0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77056076201261081"/>
          <c:y val="0.23921124375821556"/>
          <c:w val="0.14510062529911227"/>
          <c:h val="0.11950428070668234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lang="es-E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622" l="0.70000000000000062" r="0.70000000000000062" t="0.75000000000000622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s-CO"/>
              <a:t>Modelo de la velocidad de onda </a:t>
            </a:r>
          </a:p>
        </c:rich>
      </c:tx>
      <c:layout>
        <c:manualLayout>
          <c:xMode val="edge"/>
          <c:yMode val="edge"/>
          <c:x val="0.23193998506591892"/>
          <c:y val="3.591054403464749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21279940388048252"/>
          <c:w val="0.80788866245606472"/>
          <c:h val="0.734896521522650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Resultados!$F$13</c:f>
              <c:strCache>
                <c:ptCount val="1"/>
                <c:pt idx="0">
                  <c:v>Vs</c:v>
                </c:pt>
              </c:strCache>
            </c:strRef>
          </c:tx>
          <c:xVal>
            <c:numRef>
              <c:f>Resultados!$F$15:$F$50</c:f>
              <c:numCache>
                <c:formatCode>0</c:formatCode>
                <c:ptCount val="36"/>
                <c:pt idx="0">
                  <c:v>149.35929435856536</c:v>
                </c:pt>
                <c:pt idx="1">
                  <c:v>255.77905704327918</c:v>
                </c:pt>
                <c:pt idx="2">
                  <c:v>314.95509230135383</c:v>
                </c:pt>
                <c:pt idx="3">
                  <c:v>328.81489268839562</c:v>
                </c:pt>
                <c:pt idx="4">
                  <c:v>334.75464283804376</c:v>
                </c:pt>
                <c:pt idx="5">
                  <c:v>342.00074103921401</c:v>
                </c:pt>
                <c:pt idx="6">
                  <c:v>357.28249525786339</c:v>
                </c:pt>
                <c:pt idx="7">
                  <c:v>364.8317863461628</c:v>
                </c:pt>
                <c:pt idx="8">
                  <c:v>359.05615786979962</c:v>
                </c:pt>
                <c:pt idx="9">
                  <c:v>382.26057095498822</c:v>
                </c:pt>
                <c:pt idx="10">
                  <c:v>456.04659909289717</c:v>
                </c:pt>
                <c:pt idx="11">
                  <c:v>479.32336411672759</c:v>
                </c:pt>
                <c:pt idx="12">
                  <c:v>473.17042188465433</c:v>
                </c:pt>
                <c:pt idx="13">
                  <c:v>480.24929998912711</c:v>
                </c:pt>
                <c:pt idx="14">
                  <c:v>#N/A</c:v>
                </c:pt>
              </c:numCache>
            </c:num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2-4225-BB09-52A71AF20310}"/>
            </c:ext>
          </c:extLst>
        </c:ser>
        <c:ser>
          <c:idx val="1"/>
          <c:order val="1"/>
          <c:tx>
            <c:strRef>
              <c:f>Resultados!$I$13</c:f>
              <c:strCache>
                <c:ptCount val="1"/>
                <c:pt idx="0">
                  <c:v>Vp</c:v>
                </c:pt>
              </c:strCache>
            </c:strRef>
          </c:tx>
          <c:xVal>
            <c:numRef>
              <c:f>Resultados!$I$15:$I$50</c:f>
              <c:numCache>
                <c:formatCode>0</c:formatCode>
                <c:ptCount val="36"/>
                <c:pt idx="0">
                  <c:v>769.26274017447895</c:v>
                </c:pt>
                <c:pt idx="1">
                  <c:v>1257.0999999999999</c:v>
                </c:pt>
                <c:pt idx="2">
                  <c:v>1428.6</c:v>
                </c:pt>
                <c:pt idx="3">
                  <c:v>1482.4</c:v>
                </c:pt>
                <c:pt idx="4">
                  <c:v>1504.1</c:v>
                </c:pt>
                <c:pt idx="5">
                  <c:v>1514.6</c:v>
                </c:pt>
                <c:pt idx="6">
                  <c:v>1520.4</c:v>
                </c:pt>
                <c:pt idx="7">
                  <c:v>1523.9</c:v>
                </c:pt>
                <c:pt idx="8">
                  <c:v>1526.1</c:v>
                </c:pt>
                <c:pt idx="9">
                  <c:v>1527.6</c:v>
                </c:pt>
                <c:pt idx="10">
                  <c:v>1528.7</c:v>
                </c:pt>
                <c:pt idx="11">
                  <c:v>1529.5</c:v>
                </c:pt>
                <c:pt idx="12">
                  <c:v>1530.1</c:v>
                </c:pt>
                <c:pt idx="13">
                  <c:v>1530.6</c:v>
                </c:pt>
                <c:pt idx="14">
                  <c:v>#N/A</c:v>
                </c:pt>
              </c:numCache>
            </c:num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2-4225-BB09-52A71AF20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7080"/>
        <c:axId val="139785904"/>
      </c:scatterChart>
      <c:valAx>
        <c:axId val="139787080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Velocidad (m/s)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5904"/>
        <c:crosses val="autoZero"/>
        <c:crossBetween val="midCat"/>
      </c:valAx>
      <c:valAx>
        <c:axId val="139785904"/>
        <c:scaling>
          <c:orientation val="maxMin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0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77531111434865496"/>
          <c:y val="0.22400323033913055"/>
          <c:w val="9.9659109201959958E-2"/>
          <c:h val="0.12981715516846351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lang="es-E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622" l="0.70000000000000062" r="0.70000000000000062" t="0.75000000000000622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n-US" sz="1200" b="1" cap="all" baseline="0">
                <a:latin typeface="Arial" pitchFamily="34" charset="0"/>
                <a:cs typeface="Arial" pitchFamily="34" charset="0"/>
              </a:rPr>
              <a:t>Modelo de la velocidad de onda de corte</a:t>
            </a:r>
          </a:p>
        </c:rich>
      </c:tx>
      <c:layout>
        <c:manualLayout>
          <c:xMode val="edge"/>
          <c:yMode val="edge"/>
          <c:x val="0.16773614133847109"/>
          <c:y val="3.900710177263529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17118967438556959"/>
          <c:w val="0.6770407934906324"/>
          <c:h val="0.77650645146806108"/>
        </c:manualLayout>
      </c:layout>
      <c:scatterChart>
        <c:scatterStyle val="lineMarker"/>
        <c:varyColors val="0"/>
        <c:ser>
          <c:idx val="0"/>
          <c:order val="0"/>
          <c:tx>
            <c:v>VS-DH</c:v>
          </c:tx>
          <c:spPr>
            <a:ln w="3175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Resultados!$F$15:$F$55</c:f>
              <c:numCache>
                <c:formatCode>0</c:formatCode>
                <c:ptCount val="41"/>
                <c:pt idx="0">
                  <c:v>149.35929435856536</c:v>
                </c:pt>
                <c:pt idx="1">
                  <c:v>255.77905704327918</c:v>
                </c:pt>
                <c:pt idx="2">
                  <c:v>314.95509230135383</c:v>
                </c:pt>
                <c:pt idx="3">
                  <c:v>328.81489268839562</c:v>
                </c:pt>
                <c:pt idx="4">
                  <c:v>334.75464283804376</c:v>
                </c:pt>
                <c:pt idx="5">
                  <c:v>342.00074103921401</c:v>
                </c:pt>
                <c:pt idx="6">
                  <c:v>357.28249525786339</c:v>
                </c:pt>
                <c:pt idx="7">
                  <c:v>364.8317863461628</c:v>
                </c:pt>
                <c:pt idx="8">
                  <c:v>359.05615786979962</c:v>
                </c:pt>
                <c:pt idx="9">
                  <c:v>382.26057095498822</c:v>
                </c:pt>
                <c:pt idx="10">
                  <c:v>456.04659909289717</c:v>
                </c:pt>
                <c:pt idx="11">
                  <c:v>479.32336411672759</c:v>
                </c:pt>
                <c:pt idx="12">
                  <c:v>473.17042188465433</c:v>
                </c:pt>
                <c:pt idx="13">
                  <c:v>480.24929998912711</c:v>
                </c:pt>
                <c:pt idx="14">
                  <c:v>#N/A</c:v>
                </c:pt>
              </c:numCache>
            </c:numRef>
          </c:xVal>
          <c:yVal>
            <c:numRef>
              <c:f>Resultados!$B$15:$B$55</c:f>
              <c:numCache>
                <c:formatCode>General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A7-428F-B9CA-5A1D8950A208}"/>
            </c:ext>
          </c:extLst>
        </c:ser>
        <c:ser>
          <c:idx val="3"/>
          <c:order val="1"/>
          <c:tx>
            <c:strRef>
              <c:f>SPT!$K$5</c:f>
              <c:strCache>
                <c:ptCount val="1"/>
                <c:pt idx="0">
                  <c:v>Vs GEC (m/s)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[1]Parámetros!$AM$28:$AM$137</c:f>
              <c:numCache>
                <c:formatCode>General</c:formatCode>
                <c:ptCount val="110"/>
                <c:pt idx="0">
                  <c:v>226.31637904719085</c:v>
                </c:pt>
                <c:pt idx="1">
                  <c:v>213.47182147811392</c:v>
                </c:pt>
                <c:pt idx="2">
                  <c:v>213.47182147811392</c:v>
                </c:pt>
                <c:pt idx="3">
                  <c:v>208.83860798576865</c:v>
                </c:pt>
                <c:pt idx="4">
                  <c:v>133.24169804040042</c:v>
                </c:pt>
                <c:pt idx="5">
                  <c:v>161.16587681349915</c:v>
                </c:pt>
                <c:pt idx="6">
                  <c:v>230.29789066183352</c:v>
                </c:pt>
                <c:pt idx="7">
                  <c:v>213.47182147811392</c:v>
                </c:pt>
                <c:pt idx="8">
                  <c:v>175.5424740462131</c:v>
                </c:pt>
                <c:pt idx="9">
                  <c:v>133.24169804040042</c:v>
                </c:pt>
                <c:pt idx="10">
                  <c:v>#N/A</c:v>
                </c:pt>
                <c:pt idx="11">
                  <c:v>#N/A</c:v>
                </c:pt>
                <c:pt idx="12">
                  <c:v>133.24169804040042</c:v>
                </c:pt>
                <c:pt idx="13">
                  <c:v>143.74394613038504</c:v>
                </c:pt>
                <c:pt idx="14">
                  <c:v>#N/A</c:v>
                </c:pt>
                <c:pt idx="15">
                  <c:v>#N/A</c:v>
                </c:pt>
                <c:pt idx="16">
                  <c:v>217.91764401542406</c:v>
                </c:pt>
                <c:pt idx="17">
                  <c:v>175.5424740462131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133.24169804040042</c:v>
                </c:pt>
                <c:pt idx="23">
                  <c:v>175.5424740462131</c:v>
                </c:pt>
                <c:pt idx="24">
                  <c:v>#N/A</c:v>
                </c:pt>
                <c:pt idx="25">
                  <c:v>#N/A</c:v>
                </c:pt>
                <c:pt idx="26">
                  <c:v>181.94484765784355</c:v>
                </c:pt>
                <c:pt idx="27">
                  <c:v>161.16587681349915</c:v>
                </c:pt>
                <c:pt idx="28">
                  <c:v>0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122.49281067910087</c:v>
                </c:pt>
                <c:pt idx="37">
                  <c:v>#N/A</c:v>
                </c:pt>
                <c:pt idx="38">
                  <c:v>106.71846548464271</c:v>
                </c:pt>
                <c:pt idx="39">
                  <c:v>#N/A</c:v>
                </c:pt>
                <c:pt idx="40">
                  <c:v>135.07960138557624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333.33953423475805</c:v>
                </c:pt>
                <c:pt idx="45">
                  <c:v>135.07960138557624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168.83134537074415</c:v>
                </c:pt>
                <c:pt idx="53">
                  <c:v>209.5864788225629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196.19781216452205</c:v>
                </c:pt>
                <c:pt idx="59">
                  <c:v>186.17966807713771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273.02298731294786</c:v>
                </c:pt>
                <c:pt idx="74">
                  <c:v>265.28546757667141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238.95175853119022</c:v>
                </c:pt>
                <c:pt idx="86">
                  <c:v>248.33867446978621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265.28546757667141</c:v>
                </c:pt>
                <c:pt idx="98">
                  <c:v>280.35675533377838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296.15829403708517</c:v>
                </c:pt>
              </c:numCache>
            </c:numRef>
          </c:xVal>
          <c:yVal>
            <c:numRef>
              <c:f>[1]Parámetros!$F$28:$F$238</c:f>
              <c:numCache>
                <c:formatCode>General</c:formatCode>
                <c:ptCount val="211"/>
                <c:pt idx="0">
                  <c:v>0.25</c:v>
                </c:pt>
                <c:pt idx="1">
                  <c:v>0.75</c:v>
                </c:pt>
                <c:pt idx="2">
                  <c:v>1.25</c:v>
                </c:pt>
                <c:pt idx="3">
                  <c:v>1.75</c:v>
                </c:pt>
                <c:pt idx="4">
                  <c:v>2.25</c:v>
                </c:pt>
                <c:pt idx="5">
                  <c:v>2.75</c:v>
                </c:pt>
                <c:pt idx="6">
                  <c:v>3.25</c:v>
                </c:pt>
                <c:pt idx="7">
                  <c:v>3.75</c:v>
                </c:pt>
                <c:pt idx="8">
                  <c:v>4.25</c:v>
                </c:pt>
                <c:pt idx="9">
                  <c:v>4.75</c:v>
                </c:pt>
                <c:pt idx="10">
                  <c:v>5.25</c:v>
                </c:pt>
                <c:pt idx="11">
                  <c:v>5.75</c:v>
                </c:pt>
                <c:pt idx="12">
                  <c:v>6.25</c:v>
                </c:pt>
                <c:pt idx="13">
                  <c:v>6.75</c:v>
                </c:pt>
                <c:pt idx="14">
                  <c:v>7.25</c:v>
                </c:pt>
                <c:pt idx="15">
                  <c:v>7.75</c:v>
                </c:pt>
                <c:pt idx="16">
                  <c:v>8.25</c:v>
                </c:pt>
                <c:pt idx="17">
                  <c:v>8.75</c:v>
                </c:pt>
                <c:pt idx="18">
                  <c:v>9.25</c:v>
                </c:pt>
                <c:pt idx="19">
                  <c:v>9.75</c:v>
                </c:pt>
                <c:pt idx="20">
                  <c:v>10.25</c:v>
                </c:pt>
                <c:pt idx="21">
                  <c:v>10.75</c:v>
                </c:pt>
                <c:pt idx="22">
                  <c:v>11.25</c:v>
                </c:pt>
                <c:pt idx="23">
                  <c:v>11.75</c:v>
                </c:pt>
                <c:pt idx="24">
                  <c:v>12.25</c:v>
                </c:pt>
                <c:pt idx="25">
                  <c:v>12.75</c:v>
                </c:pt>
                <c:pt idx="26">
                  <c:v>13.25</c:v>
                </c:pt>
                <c:pt idx="27">
                  <c:v>13.75</c:v>
                </c:pt>
                <c:pt idx="28">
                  <c:v>14.25</c:v>
                </c:pt>
                <c:pt idx="29">
                  <c:v>14.75</c:v>
                </c:pt>
                <c:pt idx="30">
                  <c:v>15.25</c:v>
                </c:pt>
                <c:pt idx="31">
                  <c:v>15.75</c:v>
                </c:pt>
                <c:pt idx="32">
                  <c:v>16.25</c:v>
                </c:pt>
                <c:pt idx="33">
                  <c:v>16.75</c:v>
                </c:pt>
                <c:pt idx="34">
                  <c:v>17.25</c:v>
                </c:pt>
                <c:pt idx="35">
                  <c:v>17.75</c:v>
                </c:pt>
                <c:pt idx="36">
                  <c:v>18.25</c:v>
                </c:pt>
                <c:pt idx="37">
                  <c:v>18.75</c:v>
                </c:pt>
                <c:pt idx="38">
                  <c:v>19.25</c:v>
                </c:pt>
                <c:pt idx="39">
                  <c:v>19.75</c:v>
                </c:pt>
                <c:pt idx="40">
                  <c:v>20.25</c:v>
                </c:pt>
                <c:pt idx="41">
                  <c:v>20.75</c:v>
                </c:pt>
                <c:pt idx="42">
                  <c:v>21.25</c:v>
                </c:pt>
                <c:pt idx="43">
                  <c:v>21.75</c:v>
                </c:pt>
                <c:pt idx="44">
                  <c:v>22.25</c:v>
                </c:pt>
                <c:pt idx="45">
                  <c:v>22.75</c:v>
                </c:pt>
                <c:pt idx="46">
                  <c:v>23.25</c:v>
                </c:pt>
                <c:pt idx="47">
                  <c:v>23.75</c:v>
                </c:pt>
                <c:pt idx="48">
                  <c:v>24.25</c:v>
                </c:pt>
                <c:pt idx="49">
                  <c:v>24.75</c:v>
                </c:pt>
                <c:pt idx="50">
                  <c:v>25.25</c:v>
                </c:pt>
                <c:pt idx="51">
                  <c:v>25.75</c:v>
                </c:pt>
                <c:pt idx="52">
                  <c:v>26.25</c:v>
                </c:pt>
                <c:pt idx="53">
                  <c:v>26.75</c:v>
                </c:pt>
                <c:pt idx="54">
                  <c:v>27.25</c:v>
                </c:pt>
                <c:pt idx="55">
                  <c:v>27.75</c:v>
                </c:pt>
                <c:pt idx="56">
                  <c:v>28.25</c:v>
                </c:pt>
                <c:pt idx="57">
                  <c:v>28.75</c:v>
                </c:pt>
                <c:pt idx="58">
                  <c:v>29.25</c:v>
                </c:pt>
                <c:pt idx="59">
                  <c:v>29.75</c:v>
                </c:pt>
                <c:pt idx="60">
                  <c:v>30.25</c:v>
                </c:pt>
                <c:pt idx="61">
                  <c:v>30.75</c:v>
                </c:pt>
                <c:pt idx="62">
                  <c:v>31.25</c:v>
                </c:pt>
                <c:pt idx="63">
                  <c:v>31.75</c:v>
                </c:pt>
                <c:pt idx="64">
                  <c:v>32.25</c:v>
                </c:pt>
                <c:pt idx="65">
                  <c:v>32.75</c:v>
                </c:pt>
                <c:pt idx="66">
                  <c:v>33.25</c:v>
                </c:pt>
                <c:pt idx="67">
                  <c:v>33.75</c:v>
                </c:pt>
                <c:pt idx="68">
                  <c:v>34.25</c:v>
                </c:pt>
                <c:pt idx="69">
                  <c:v>34.75</c:v>
                </c:pt>
                <c:pt idx="70">
                  <c:v>35.25</c:v>
                </c:pt>
                <c:pt idx="71">
                  <c:v>35.75</c:v>
                </c:pt>
                <c:pt idx="72">
                  <c:v>36.25</c:v>
                </c:pt>
                <c:pt idx="73">
                  <c:v>36.75</c:v>
                </c:pt>
                <c:pt idx="74">
                  <c:v>37.25</c:v>
                </c:pt>
                <c:pt idx="75">
                  <c:v>37.75</c:v>
                </c:pt>
                <c:pt idx="76">
                  <c:v>38.25</c:v>
                </c:pt>
                <c:pt idx="77">
                  <c:v>38.75</c:v>
                </c:pt>
                <c:pt idx="78">
                  <c:v>39.25</c:v>
                </c:pt>
                <c:pt idx="79">
                  <c:v>39.75</c:v>
                </c:pt>
                <c:pt idx="80">
                  <c:v>40.25</c:v>
                </c:pt>
                <c:pt idx="81">
                  <c:v>40.75</c:v>
                </c:pt>
                <c:pt idx="82">
                  <c:v>41.25</c:v>
                </c:pt>
                <c:pt idx="83">
                  <c:v>41.75</c:v>
                </c:pt>
                <c:pt idx="84">
                  <c:v>42.25</c:v>
                </c:pt>
                <c:pt idx="85">
                  <c:v>42.75</c:v>
                </c:pt>
                <c:pt idx="86">
                  <c:v>43.25</c:v>
                </c:pt>
                <c:pt idx="87">
                  <c:v>43.75</c:v>
                </c:pt>
                <c:pt idx="88">
                  <c:v>44.25</c:v>
                </c:pt>
                <c:pt idx="89">
                  <c:v>44.75</c:v>
                </c:pt>
                <c:pt idx="90">
                  <c:v>45.25</c:v>
                </c:pt>
                <c:pt idx="91">
                  <c:v>45.75</c:v>
                </c:pt>
                <c:pt idx="92">
                  <c:v>46.25</c:v>
                </c:pt>
                <c:pt idx="93">
                  <c:v>46.75</c:v>
                </c:pt>
                <c:pt idx="94">
                  <c:v>47.25</c:v>
                </c:pt>
                <c:pt idx="95">
                  <c:v>47.75</c:v>
                </c:pt>
                <c:pt idx="96">
                  <c:v>48.25</c:v>
                </c:pt>
                <c:pt idx="97">
                  <c:v>48.75</c:v>
                </c:pt>
                <c:pt idx="98">
                  <c:v>49.25</c:v>
                </c:pt>
                <c:pt idx="99">
                  <c:v>49.75</c:v>
                </c:pt>
                <c:pt idx="100">
                  <c:v>50.25</c:v>
                </c:pt>
                <c:pt idx="101">
                  <c:v>50.75</c:v>
                </c:pt>
                <c:pt idx="102">
                  <c:v>51.25</c:v>
                </c:pt>
                <c:pt idx="103">
                  <c:v>51.75</c:v>
                </c:pt>
                <c:pt idx="104">
                  <c:v>52.25</c:v>
                </c:pt>
                <c:pt idx="105">
                  <c:v>52.75</c:v>
                </c:pt>
                <c:pt idx="106">
                  <c:v>53.25</c:v>
                </c:pt>
                <c:pt idx="107">
                  <c:v>53.75</c:v>
                </c:pt>
                <c:pt idx="108">
                  <c:v>54.25</c:v>
                </c:pt>
                <c:pt idx="109">
                  <c:v>54.75</c:v>
                </c:pt>
                <c:pt idx="110">
                  <c:v>55.25</c:v>
                </c:pt>
                <c:pt idx="111">
                  <c:v>55.75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CD-4A70-84FB-8FBD253BF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6688"/>
        <c:axId val="139787472"/>
      </c:scatterChart>
      <c:valAx>
        <c:axId val="139786688"/>
        <c:scaling>
          <c:orientation val="minMax"/>
        </c:scaling>
        <c:delete val="0"/>
        <c:axPos val="t"/>
        <c:majorGridlines/>
        <c:minorGridlines/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s-ES" sz="1100">
                    <a:latin typeface="Arial" pitchFamily="34" charset="0"/>
                    <a:cs typeface="Arial" pitchFamily="34" charset="0"/>
                  </a:rPr>
                  <a:t>Vs(m/s)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472"/>
        <c:crosses val="autoZero"/>
        <c:crossBetween val="midCat"/>
      </c:valAx>
      <c:valAx>
        <c:axId val="139787472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s-ES" sz="1100">
                    <a:latin typeface="Arial" pitchFamily="34" charset="0"/>
                    <a:cs typeface="Arial" pitchFamily="34" charset="0"/>
                  </a:rPr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6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04483964951425"/>
          <c:y val="0.50238086486944966"/>
          <c:w val="0.17732045814537575"/>
          <c:h val="0.12754925851997895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</a:ln>
        <a:effectLst/>
      </c:spPr>
      <c:txPr>
        <a:bodyPr/>
        <a:lstStyle/>
        <a:p>
          <a:pPr>
            <a:defRPr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image" Target="../media/image3.jpe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158750</xdr:colOff>
      <xdr:row>3</xdr:row>
      <xdr:rowOff>26460</xdr:rowOff>
    </xdr:from>
    <xdr:to>
      <xdr:col>16</xdr:col>
      <xdr:colOff>645583</xdr:colOff>
      <xdr:row>31</xdr:row>
      <xdr:rowOff>150285</xdr:rowOff>
    </xdr:to>
    <xdr:graphicFrame macro="">
      <xdr:nvGraphicFramePr>
        <xdr:cNvPr id="2" name="2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717549</xdr:colOff>
      <xdr:row>3</xdr:row>
      <xdr:rowOff>26459</xdr:rowOff>
    </xdr:from>
    <xdr:to>
      <xdr:col>21</xdr:col>
      <xdr:colOff>222250</xdr:colOff>
      <xdr:row>31</xdr:row>
      <xdr:rowOff>140759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</xdr:row>
          <xdr:rowOff>19050</xdr:rowOff>
        </xdr:from>
        <xdr:to>
          <xdr:col>3</xdr:col>
          <xdr:colOff>419100</xdr:colOff>
          <xdr:row>2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Ajustar Vp/Vs y 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314325</xdr:rowOff>
        </xdr:from>
        <xdr:to>
          <xdr:col>3</xdr:col>
          <xdr:colOff>485775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Suavizar(smooth)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</xdr:row>
          <xdr:rowOff>76200</xdr:rowOff>
        </xdr:from>
        <xdr:to>
          <xdr:col>5</xdr:col>
          <xdr:colOff>381000</xdr:colOff>
          <xdr:row>2</xdr:row>
          <xdr:rowOff>466725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40821</xdr:colOff>
      <xdr:row>14</xdr:row>
      <xdr:rowOff>38102</xdr:rowOff>
    </xdr:from>
    <xdr:to>
      <xdr:col>17</xdr:col>
      <xdr:colOff>704850</xdr:colOff>
      <xdr:row>33</xdr:row>
      <xdr:rowOff>161925</xdr:rowOff>
    </xdr:to>
    <xdr:graphicFrame macro="">
      <xdr:nvGraphicFramePr>
        <xdr:cNvPr id="2" name="3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80283</xdr:colOff>
      <xdr:row>34</xdr:row>
      <xdr:rowOff>8163</xdr:rowOff>
    </xdr:from>
    <xdr:to>
      <xdr:col>17</xdr:col>
      <xdr:colOff>699408</xdr:colOff>
      <xdr:row>54</xdr:row>
      <xdr:rowOff>27212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68035</xdr:colOff>
      <xdr:row>0</xdr:row>
      <xdr:rowOff>95250</xdr:rowOff>
    </xdr:from>
    <xdr:to>
      <xdr:col>5</xdr:col>
      <xdr:colOff>243839</xdr:colOff>
      <xdr:row>3</xdr:row>
      <xdr:rowOff>123662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035" y="95250"/>
          <a:ext cx="4815840" cy="722376"/>
        </a:xfrm>
        <a:prstGeom prst="rect">
          <a:avLst/>
        </a:prstGeom>
      </xdr:spPr>
    </xdr:pic>
    <xdr:clientData/>
  </xdr:twoCellAnchor>
  <xdr:twoCellAnchor editAs="oneCell">
    <xdr:from>
      <xdr:col>2</xdr:col>
      <xdr:colOff>40822</xdr:colOff>
      <xdr:row>56</xdr:row>
      <xdr:rowOff>163285</xdr:rowOff>
    </xdr:from>
    <xdr:to>
      <xdr:col>3</xdr:col>
      <xdr:colOff>54430</xdr:colOff>
      <xdr:row>58</xdr:row>
      <xdr:rowOff>156715</xdr:rowOff>
    </xdr:to>
    <xdr:pic>
      <xdr:nvPicPr>
        <xdr:cNvPr id="7" name="Imagen 6" descr="Texto&#10;&#10;Descripción generada automáticament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0215" y="12926785"/>
          <a:ext cx="1496786" cy="374430"/>
        </a:xfrm>
        <a:prstGeom prst="rect">
          <a:avLst/>
        </a:prstGeom>
        <a:noFill/>
      </xdr:spPr>
    </xdr:pic>
    <xdr:clientData/>
  </xdr:twoCellAnchor>
  <xdr:oneCellAnchor>
    <xdr:from>
      <xdr:col>1</xdr:col>
      <xdr:colOff>68035</xdr:colOff>
      <xdr:row>61</xdr:row>
      <xdr:rowOff>95250</xdr:rowOff>
    </xdr:from>
    <xdr:ext cx="4815840" cy="722376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035" y="95250"/>
          <a:ext cx="4815840" cy="72237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1</xdr:row>
      <xdr:rowOff>19050</xdr:rowOff>
    </xdr:from>
    <xdr:to>
      <xdr:col>9</xdr:col>
      <xdr:colOff>704850</xdr:colOff>
      <xdr:row>33</xdr:row>
      <xdr:rowOff>47625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jeoprobe.com/" TargetMode="External"/><Relationship Id="rId1" Type="http://schemas.openxmlformats.org/officeDocument/2006/relationships/hyperlink" Target="http://www.jeoprobe.com/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265"/>
  <sheetViews>
    <sheetView zoomScale="70" zoomScaleNormal="70" workbookViewId="0">
      <selection activeCell="A42" sqref="A42"/>
    </sheetView>
  </sheetViews>
  <sheetFormatPr defaultColWidth="11.42578125" defaultRowHeight="15" x14ac:dyDescent="0.25"/>
  <cols>
    <col min="1" max="1" width="11.85546875" customWidth="1"/>
    <col min="2" max="2" width="12.85546875" style="10" bestFit="1" customWidth="1"/>
    <col min="3" max="3" width="14.5703125" style="10" bestFit="1" customWidth="1"/>
    <col min="7" max="7" width="12.28515625" bestFit="1" customWidth="1"/>
    <col min="9" max="9" width="12.5703125" bestFit="1" customWidth="1"/>
    <col min="12" max="12" width="11.5703125" bestFit="1" customWidth="1"/>
  </cols>
  <sheetData>
    <row r="1" spans="1:24" ht="15.75" x14ac:dyDescent="0.25">
      <c r="A1" s="1" t="s">
        <v>0</v>
      </c>
      <c r="B1" s="2"/>
      <c r="C1" s="2"/>
      <c r="D1" s="3"/>
      <c r="E1" s="3"/>
      <c r="F1" s="3"/>
      <c r="G1" s="3"/>
    </row>
    <row r="2" spans="1:24" x14ac:dyDescent="0.25">
      <c r="B2" s="3"/>
      <c r="C2" s="3"/>
      <c r="D2" s="3"/>
      <c r="E2" s="3"/>
      <c r="F2" s="3"/>
      <c r="G2" s="3"/>
    </row>
    <row r="3" spans="1:24" ht="38.25" x14ac:dyDescent="0.25">
      <c r="A3" s="4" t="s">
        <v>1</v>
      </c>
      <c r="B3" s="59">
        <v>1</v>
      </c>
      <c r="C3" s="3"/>
      <c r="D3" s="3"/>
      <c r="E3" s="3"/>
      <c r="F3" s="3"/>
      <c r="G3" s="3"/>
    </row>
    <row r="4" spans="1:24" x14ac:dyDescent="0.25">
      <c r="B4" s="3"/>
      <c r="C4" s="3"/>
      <c r="D4" s="3"/>
      <c r="E4" s="3"/>
      <c r="F4" s="3"/>
      <c r="G4" s="3"/>
    </row>
    <row r="5" spans="1:24" x14ac:dyDescent="0.25">
      <c r="B5" s="3"/>
      <c r="C5" s="3"/>
      <c r="D5" s="3"/>
      <c r="E5" s="3"/>
      <c r="F5" s="3"/>
      <c r="G5" s="3"/>
    </row>
    <row r="6" spans="1:24" ht="26.25" thickBot="1" x14ac:dyDescent="0.3">
      <c r="A6" s="78" t="s">
        <v>2</v>
      </c>
      <c r="B6" s="78" t="s">
        <v>3</v>
      </c>
      <c r="C6" s="78" t="s">
        <v>4</v>
      </c>
      <c r="D6" s="5" t="s">
        <v>5</v>
      </c>
      <c r="E6" s="5" t="s">
        <v>6</v>
      </c>
      <c r="F6" s="5" t="s">
        <v>7</v>
      </c>
      <c r="G6" s="5" t="s">
        <v>8</v>
      </c>
      <c r="H6" s="5" t="s">
        <v>9</v>
      </c>
      <c r="I6" s="5" t="s">
        <v>10</v>
      </c>
      <c r="J6" s="5" t="s">
        <v>11</v>
      </c>
      <c r="K6" s="5" t="s">
        <v>33</v>
      </c>
      <c r="L6" s="5" t="s">
        <v>34</v>
      </c>
    </row>
    <row r="7" spans="1:24" x14ac:dyDescent="0.25">
      <c r="A7" s="79">
        <v>1</v>
      </c>
      <c r="B7" s="79">
        <v>131.5</v>
      </c>
      <c r="C7" s="79">
        <v>689.1</v>
      </c>
      <c r="D7">
        <f t="shared" ref="D7:D20" si="0">IF(A7="","",(C7/B7))</f>
        <v>5.2403041825095062</v>
      </c>
      <c r="E7" s="7">
        <f>+D7</f>
        <v>5.2403041825095062</v>
      </c>
      <c r="F7" s="7">
        <v>5.2403606684815616</v>
      </c>
      <c r="G7" s="8">
        <v>0.48110453796386721</v>
      </c>
      <c r="H7" s="6">
        <v>689.10742790532538</v>
      </c>
      <c r="I7" s="6">
        <v>769.26274017447895</v>
      </c>
      <c r="J7" s="6">
        <v>149.35929435856536</v>
      </c>
      <c r="K7" s="22">
        <f>IF(A7="","",((J7^2)-((I7^2)/2))/((J7^2)-(I7^2)))</f>
        <v>0.48041274389664562</v>
      </c>
      <c r="L7" s="7">
        <f>IF(A7="","",I7/J7)</f>
        <v>5.1504176119613794</v>
      </c>
      <c r="W7">
        <f>+B7*X7</f>
        <v>261.685</v>
      </c>
      <c r="X7">
        <v>1.99</v>
      </c>
    </row>
    <row r="8" spans="1:24" x14ac:dyDescent="0.25">
      <c r="A8" s="79">
        <v>2</v>
      </c>
      <c r="B8" s="79">
        <v>271</v>
      </c>
      <c r="C8" s="79">
        <v>1257.0999999999999</v>
      </c>
      <c r="D8">
        <f t="shared" si="0"/>
        <v>4.6387453874538744</v>
      </c>
      <c r="E8" s="7">
        <f t="shared" ref="E8:E20" si="1">+D8</f>
        <v>4.6387453874538744</v>
      </c>
      <c r="F8" s="7">
        <v>4.6387079393187971</v>
      </c>
      <c r="G8" s="8">
        <v>0.47563069152832038</v>
      </c>
      <c r="H8" s="6">
        <v>1257.089851555394</v>
      </c>
      <c r="I8" s="6">
        <v>1190.9365742985813</v>
      </c>
      <c r="J8" s="6">
        <v>255.77905704327918</v>
      </c>
      <c r="K8" s="22">
        <f t="shared" ref="K8:K20" si="2">IF(A8="","",((J8^2)-((I8^2)/2))/((J8^2)-(I8^2)))</f>
        <v>0.47582135131253434</v>
      </c>
      <c r="L8" s="7">
        <f t="shared" ref="L8:L20" si="3">IF(A8="","",I8/J8)</f>
        <v>4.6561144921926445</v>
      </c>
      <c r="W8">
        <f t="shared" ref="W8:W62" si="4">+B8*X8</f>
        <v>536.58000000000004</v>
      </c>
      <c r="X8">
        <v>1.98</v>
      </c>
    </row>
    <row r="9" spans="1:24" x14ac:dyDescent="0.25">
      <c r="A9" s="79">
        <v>3</v>
      </c>
      <c r="B9" s="79">
        <v>315.89999999999998</v>
      </c>
      <c r="C9" s="79">
        <v>1428.6</v>
      </c>
      <c r="D9">
        <f t="shared" si="0"/>
        <v>4.5223171889838554</v>
      </c>
      <c r="E9" s="7">
        <f t="shared" si="1"/>
        <v>4.5223171889838554</v>
      </c>
      <c r="F9" s="7">
        <v>4.5223553747338636</v>
      </c>
      <c r="G9" s="8">
        <v>0.47429530334472658</v>
      </c>
      <c r="H9" s="6">
        <v>1428.6120628784274</v>
      </c>
      <c r="I9" s="6">
        <v>1428.2207420510777</v>
      </c>
      <c r="J9" s="6">
        <v>314.95509230135383</v>
      </c>
      <c r="K9" s="22">
        <f t="shared" si="2"/>
        <v>0.47444197633909507</v>
      </c>
      <c r="L9" s="7">
        <f t="shared" si="3"/>
        <v>4.5346805845086458</v>
      </c>
      <c r="W9">
        <f t="shared" si="4"/>
        <v>622.32299999999998</v>
      </c>
      <c r="X9">
        <v>1.97</v>
      </c>
    </row>
    <row r="10" spans="1:24" x14ac:dyDescent="0.25">
      <c r="A10" s="79">
        <v>4</v>
      </c>
      <c r="B10" s="79">
        <v>330</v>
      </c>
      <c r="C10" s="79">
        <v>1482.4</v>
      </c>
      <c r="D10">
        <f t="shared" si="0"/>
        <v>4.4921212121212122</v>
      </c>
      <c r="E10" s="7">
        <f t="shared" si="1"/>
        <v>4.4921212121212122</v>
      </c>
      <c r="F10" s="7">
        <v>4.4920821652534428</v>
      </c>
      <c r="G10" s="8">
        <v>0.47392955017089844</v>
      </c>
      <c r="H10" s="6">
        <v>1482.3871145336361</v>
      </c>
      <c r="I10" s="6">
        <v>1474.7886767798891</v>
      </c>
      <c r="J10" s="6">
        <v>328.81489268839562</v>
      </c>
      <c r="K10" s="22">
        <f t="shared" si="2"/>
        <v>0.47384485124525744</v>
      </c>
      <c r="L10" s="7">
        <f t="shared" si="3"/>
        <v>4.485163870535164</v>
      </c>
      <c r="W10">
        <f t="shared" si="4"/>
        <v>660</v>
      </c>
      <c r="X10">
        <v>2</v>
      </c>
    </row>
    <row r="11" spans="1:24" x14ac:dyDescent="0.25">
      <c r="A11" s="79">
        <v>5</v>
      </c>
      <c r="B11" s="79">
        <v>335.6</v>
      </c>
      <c r="C11" s="79">
        <v>1504.1</v>
      </c>
      <c r="D11">
        <f t="shared" si="0"/>
        <v>4.4818235995232412</v>
      </c>
      <c r="E11" s="7">
        <f t="shared" si="1"/>
        <v>4.4818235995232412</v>
      </c>
      <c r="F11" s="7">
        <v>4.4817971972672552</v>
      </c>
      <c r="G11" s="8">
        <v>0.47380348205566414</v>
      </c>
      <c r="H11" s="6">
        <v>1504.091139402891</v>
      </c>
      <c r="I11" s="6">
        <v>1505.8150340964021</v>
      </c>
      <c r="J11" s="6">
        <v>334.75464283804376</v>
      </c>
      <c r="K11" s="22">
        <f t="shared" si="2"/>
        <v>0.47400488951294889</v>
      </c>
      <c r="L11" s="7">
        <f t="shared" si="3"/>
        <v>4.4982648226478048</v>
      </c>
      <c r="W11">
        <f t="shared" si="4"/>
        <v>664.48800000000006</v>
      </c>
      <c r="X11">
        <v>1.98</v>
      </c>
    </row>
    <row r="12" spans="1:24" x14ac:dyDescent="0.25">
      <c r="A12" s="79">
        <v>6</v>
      </c>
      <c r="B12" s="79">
        <v>338.3</v>
      </c>
      <c r="C12" s="79">
        <v>1514.6</v>
      </c>
      <c r="D12">
        <f t="shared" si="0"/>
        <v>4.4770913390481812</v>
      </c>
      <c r="E12" s="7">
        <f t="shared" si="1"/>
        <v>4.4770913390481812</v>
      </c>
      <c r="F12" s="7">
        <v>4.4771242006856049</v>
      </c>
      <c r="G12" s="8">
        <v>0.4737458953857423</v>
      </c>
      <c r="H12" s="6">
        <v>1514.6111170919403</v>
      </c>
      <c r="I12" s="6">
        <v>1512.3612349738009</v>
      </c>
      <c r="J12" s="6">
        <v>342.00074103921401</v>
      </c>
      <c r="K12" s="22">
        <f t="shared" si="2"/>
        <v>0.47305303045667718</v>
      </c>
      <c r="L12" s="7">
        <f t="shared" si="3"/>
        <v>4.4220992924702252</v>
      </c>
      <c r="W12">
        <f t="shared" si="4"/>
        <v>673.21699999999998</v>
      </c>
      <c r="X12">
        <v>1.99</v>
      </c>
    </row>
    <row r="13" spans="1:24" x14ac:dyDescent="0.25">
      <c r="A13" s="79">
        <v>7</v>
      </c>
      <c r="B13" s="79">
        <v>361.6</v>
      </c>
      <c r="C13" s="79">
        <v>1520.4</v>
      </c>
      <c r="D13">
        <f t="shared" si="0"/>
        <v>4.2046460176991154</v>
      </c>
      <c r="E13" s="7">
        <f t="shared" si="1"/>
        <v>4.2046460176991154</v>
      </c>
      <c r="F13" s="7">
        <v>4.2046939797681722</v>
      </c>
      <c r="G13" s="8">
        <v>0.47002299499511724</v>
      </c>
      <c r="H13" s="6">
        <v>1520.4173430841711</v>
      </c>
      <c r="I13" s="6">
        <v>1521.4552434944972</v>
      </c>
      <c r="J13" s="6">
        <v>357.28249525786339</v>
      </c>
      <c r="K13" s="22">
        <f t="shared" si="2"/>
        <v>0.47081834666226013</v>
      </c>
      <c r="L13" s="7">
        <f t="shared" si="3"/>
        <v>4.258409700134929</v>
      </c>
      <c r="W13">
        <f t="shared" si="4"/>
        <v>715.96800000000007</v>
      </c>
      <c r="X13">
        <v>1.98</v>
      </c>
    </row>
    <row r="14" spans="1:24" x14ac:dyDescent="0.25">
      <c r="A14" s="79">
        <v>8</v>
      </c>
      <c r="B14" s="79">
        <v>362.6</v>
      </c>
      <c r="C14" s="79">
        <v>1523.9</v>
      </c>
      <c r="D14">
        <f t="shared" si="0"/>
        <v>4.2027027027027026</v>
      </c>
      <c r="E14" s="7">
        <f t="shared" si="1"/>
        <v>4.2027027027027026</v>
      </c>
      <c r="F14" s="7">
        <v>4.2027388492699496</v>
      </c>
      <c r="G14" s="8">
        <v>0.46999342346191408</v>
      </c>
      <c r="H14" s="6">
        <v>1523.9131067452838</v>
      </c>
      <c r="I14" s="6">
        <v>1522.8606650417707</v>
      </c>
      <c r="J14" s="6">
        <v>364.8317863461628</v>
      </c>
      <c r="K14" s="22">
        <f t="shared" si="2"/>
        <v>0.46955578960377203</v>
      </c>
      <c r="L14" s="7">
        <f t="shared" si="3"/>
        <v>4.1741446936228224</v>
      </c>
      <c r="W14">
        <f t="shared" si="4"/>
        <v>714.322</v>
      </c>
      <c r="X14">
        <v>1.97</v>
      </c>
    </row>
    <row r="15" spans="1:24" x14ac:dyDescent="0.25">
      <c r="A15" s="79">
        <v>9</v>
      </c>
      <c r="B15" s="79">
        <v>363.3</v>
      </c>
      <c r="C15" s="79">
        <v>1526.1</v>
      </c>
      <c r="D15">
        <f t="shared" si="0"/>
        <v>4.2006606110652349</v>
      </c>
      <c r="E15" s="7">
        <f t="shared" si="1"/>
        <v>4.2006606110652349</v>
      </c>
      <c r="F15" s="7">
        <v>4.2006839959111231</v>
      </c>
      <c r="G15" s="8">
        <v>0.46996229553222657</v>
      </c>
      <c r="H15" s="6">
        <v>1526.108495714511</v>
      </c>
      <c r="I15" s="6">
        <v>1526.7236353866294</v>
      </c>
      <c r="J15" s="6">
        <v>359.05615786979962</v>
      </c>
      <c r="K15" s="22">
        <f t="shared" si="2"/>
        <v>0.47072582929195389</v>
      </c>
      <c r="L15" s="7">
        <f t="shared" si="3"/>
        <v>4.2520469345083551</v>
      </c>
      <c r="W15">
        <f t="shared" si="4"/>
        <v>726.6</v>
      </c>
      <c r="X15">
        <v>2</v>
      </c>
    </row>
    <row r="16" spans="1:24" x14ac:dyDescent="0.25">
      <c r="A16" s="79">
        <v>10</v>
      </c>
      <c r="B16" s="79">
        <v>363.7</v>
      </c>
      <c r="C16" s="79">
        <v>1527.6</v>
      </c>
      <c r="D16">
        <f t="shared" si="0"/>
        <v>4.2001649711300519</v>
      </c>
      <c r="E16" s="7">
        <f t="shared" si="1"/>
        <v>4.2001649711300519</v>
      </c>
      <c r="F16" s="7">
        <v>4.2001707910136954</v>
      </c>
      <c r="G16" s="8">
        <v>0.46995451354980478</v>
      </c>
      <c r="H16" s="6">
        <v>1527.602116691681</v>
      </c>
      <c r="I16" s="6">
        <v>1527.0803493869225</v>
      </c>
      <c r="J16" s="6">
        <v>382.26057095498822</v>
      </c>
      <c r="K16" s="22">
        <f t="shared" si="2"/>
        <v>0.46657523146909224</v>
      </c>
      <c r="L16" s="7">
        <f t="shared" si="3"/>
        <v>3.9948675469506862</v>
      </c>
      <c r="W16">
        <f t="shared" si="4"/>
        <v>720.12599999999998</v>
      </c>
      <c r="X16">
        <v>1.98</v>
      </c>
    </row>
    <row r="17" spans="1:24" x14ac:dyDescent="0.25">
      <c r="A17" s="79">
        <v>11</v>
      </c>
      <c r="B17" s="79">
        <v>474.6</v>
      </c>
      <c r="C17" s="79">
        <v>1528.7</v>
      </c>
      <c r="D17">
        <f t="shared" si="0"/>
        <v>3.2210282343025707</v>
      </c>
      <c r="E17" s="7">
        <f t="shared" si="1"/>
        <v>3.2210282343025707</v>
      </c>
      <c r="F17" s="7">
        <v>3.2210106643463563</v>
      </c>
      <c r="G17" s="8">
        <v>0.44666615295410161</v>
      </c>
      <c r="H17" s="6">
        <v>1528.6916612987807</v>
      </c>
      <c r="I17" s="6">
        <v>1528.9215220559495</v>
      </c>
      <c r="J17" s="6">
        <v>456.04659909289717</v>
      </c>
      <c r="K17" s="22">
        <f t="shared" si="2"/>
        <v>0.45117010207560787</v>
      </c>
      <c r="L17" s="7">
        <f t="shared" si="3"/>
        <v>3.3525554737104981</v>
      </c>
      <c r="W17">
        <f t="shared" si="4"/>
        <v>944.45400000000006</v>
      </c>
      <c r="X17">
        <v>1.99</v>
      </c>
    </row>
    <row r="18" spans="1:24" x14ac:dyDescent="0.25">
      <c r="A18" s="79">
        <v>12</v>
      </c>
      <c r="B18" s="79">
        <v>475.1</v>
      </c>
      <c r="C18" s="79">
        <v>1529.5</v>
      </c>
      <c r="D18">
        <f t="shared" si="0"/>
        <v>3.2193222479478005</v>
      </c>
      <c r="E18" s="7">
        <f t="shared" si="1"/>
        <v>3.2193222479478005</v>
      </c>
      <c r="F18" s="7">
        <v>3.2193134760100452</v>
      </c>
      <c r="G18" s="8">
        <v>0.44660389709472659</v>
      </c>
      <c r="H18" s="6">
        <v>1529.4958324523725</v>
      </c>
      <c r="I18" s="6">
        <v>1529.5961251235983</v>
      </c>
      <c r="J18" s="6">
        <v>479.32336411672759</v>
      </c>
      <c r="K18" s="22">
        <f t="shared" si="2"/>
        <v>0.44555442764564118</v>
      </c>
      <c r="L18" s="7">
        <f t="shared" si="3"/>
        <v>3.1911570343378926</v>
      </c>
      <c r="W18">
        <f t="shared" si="4"/>
        <v>940.69800000000009</v>
      </c>
      <c r="X18">
        <v>1.98</v>
      </c>
    </row>
    <row r="19" spans="1:24" x14ac:dyDescent="0.25">
      <c r="A19" s="79">
        <v>13</v>
      </c>
      <c r="B19" s="79">
        <v>475.5</v>
      </c>
      <c r="C19" s="79">
        <v>1530.1</v>
      </c>
      <c r="D19">
        <f t="shared" si="0"/>
        <v>3.2178759200841216</v>
      </c>
      <c r="E19" s="7">
        <f t="shared" si="1"/>
        <v>3.2178759200841216</v>
      </c>
      <c r="F19" s="7">
        <v>3.2178732729057753</v>
      </c>
      <c r="G19" s="8">
        <v>0.44655097961425783</v>
      </c>
      <c r="H19" s="6">
        <v>1530.0987412666962</v>
      </c>
      <c r="I19" s="6">
        <v>1528.8635895371185</v>
      </c>
      <c r="J19" s="6">
        <v>473.17042188465433</v>
      </c>
      <c r="K19" s="22">
        <f t="shared" si="2"/>
        <v>0.44703414100959016</v>
      </c>
      <c r="L19" s="7">
        <f t="shared" si="3"/>
        <v>3.2311055780866464</v>
      </c>
      <c r="W19">
        <f t="shared" si="4"/>
        <v>936.73500000000001</v>
      </c>
      <c r="X19">
        <v>1.97</v>
      </c>
    </row>
    <row r="20" spans="1:24" x14ac:dyDescent="0.25">
      <c r="A20" s="79">
        <v>14</v>
      </c>
      <c r="B20" s="79">
        <v>475.7</v>
      </c>
      <c r="C20" s="79">
        <v>1530.6</v>
      </c>
      <c r="D20">
        <f t="shared" si="0"/>
        <v>3.2175741013243639</v>
      </c>
      <c r="E20" s="7">
        <f t="shared" si="1"/>
        <v>3.2175741013243639</v>
      </c>
      <c r="F20" s="7">
        <v>3.2175770345222521</v>
      </c>
      <c r="G20" s="8">
        <v>0.4465400848388672</v>
      </c>
      <c r="H20" s="6">
        <v>1530.6013953222352</v>
      </c>
      <c r="I20" s="6">
        <v>1539.1998480817952</v>
      </c>
      <c r="J20" s="6">
        <v>480.24929998912711</v>
      </c>
      <c r="K20" s="22">
        <f t="shared" si="2"/>
        <v>0.44607441262939002</v>
      </c>
      <c r="L20" s="7">
        <f t="shared" si="3"/>
        <v>3.2050017524578229</v>
      </c>
      <c r="W20">
        <f t="shared" si="4"/>
        <v>951.4</v>
      </c>
      <c r="X20">
        <v>2</v>
      </c>
    </row>
    <row r="21" spans="1:24" x14ac:dyDescent="0.25">
      <c r="B21"/>
      <c r="C21"/>
      <c r="E21" s="7"/>
      <c r="F21" s="7"/>
      <c r="G21" s="8"/>
      <c r="H21" s="6"/>
      <c r="I21" s="6"/>
      <c r="J21" s="6"/>
      <c r="K21" s="22"/>
      <c r="L21" s="7"/>
      <c r="W21">
        <f t="shared" si="4"/>
        <v>0</v>
      </c>
      <c r="X21">
        <v>1.98</v>
      </c>
    </row>
    <row r="22" spans="1:24" x14ac:dyDescent="0.25">
      <c r="B22"/>
      <c r="C22"/>
      <c r="E22" s="7"/>
      <c r="F22" s="7"/>
      <c r="G22" s="8"/>
      <c r="H22" s="6"/>
      <c r="I22" s="6"/>
      <c r="J22" s="6"/>
      <c r="K22" s="22"/>
      <c r="L22" s="7"/>
      <c r="W22">
        <f t="shared" si="4"/>
        <v>0</v>
      </c>
      <c r="X22">
        <v>1.99</v>
      </c>
    </row>
    <row r="23" spans="1:24" x14ac:dyDescent="0.25">
      <c r="B23"/>
      <c r="C23"/>
      <c r="E23" s="7"/>
      <c r="F23" s="7"/>
      <c r="G23" s="8"/>
      <c r="H23" s="6"/>
      <c r="I23" s="6"/>
      <c r="J23" s="6"/>
      <c r="K23" s="22"/>
      <c r="L23" s="7"/>
      <c r="W23">
        <f t="shared" si="4"/>
        <v>0</v>
      </c>
      <c r="X23">
        <v>1.98</v>
      </c>
    </row>
    <row r="24" spans="1:24" x14ac:dyDescent="0.25">
      <c r="B24"/>
      <c r="C24"/>
      <c r="E24" s="7"/>
      <c r="F24" s="7"/>
      <c r="G24" s="8"/>
      <c r="H24" s="6"/>
      <c r="I24" s="6"/>
      <c r="J24" s="6"/>
      <c r="K24" s="22"/>
      <c r="L24" s="7"/>
      <c r="W24">
        <f t="shared" si="4"/>
        <v>0</v>
      </c>
      <c r="X24">
        <v>1.97</v>
      </c>
    </row>
    <row r="25" spans="1:24" x14ac:dyDescent="0.25">
      <c r="B25"/>
      <c r="C25"/>
      <c r="E25" s="7"/>
      <c r="F25" s="7"/>
      <c r="G25" s="8"/>
      <c r="H25" s="6"/>
      <c r="I25" s="6"/>
      <c r="J25" s="6"/>
      <c r="K25" s="22"/>
      <c r="L25" s="7"/>
      <c r="W25">
        <f t="shared" si="4"/>
        <v>0</v>
      </c>
      <c r="X25">
        <v>2</v>
      </c>
    </row>
    <row r="26" spans="1:24" x14ac:dyDescent="0.25">
      <c r="B26"/>
      <c r="C26"/>
      <c r="E26" s="7"/>
      <c r="F26" s="7"/>
      <c r="G26" s="8"/>
      <c r="H26" s="6"/>
      <c r="I26" s="6"/>
      <c r="J26" s="6"/>
      <c r="K26" s="22"/>
      <c r="L26" s="7"/>
      <c r="W26">
        <f t="shared" si="4"/>
        <v>0</v>
      </c>
      <c r="X26">
        <v>1.98</v>
      </c>
    </row>
    <row r="27" spans="1:24" x14ac:dyDescent="0.25">
      <c r="B27"/>
      <c r="C27"/>
      <c r="E27" s="7"/>
      <c r="F27" s="7"/>
      <c r="G27" s="8"/>
      <c r="H27" s="6"/>
      <c r="I27" s="6"/>
      <c r="J27" s="6"/>
      <c r="K27" s="22"/>
      <c r="L27" s="7"/>
      <c r="W27">
        <f t="shared" si="4"/>
        <v>0</v>
      </c>
      <c r="X27">
        <v>1.98</v>
      </c>
    </row>
    <row r="28" spans="1:24" x14ac:dyDescent="0.25">
      <c r="B28"/>
      <c r="C28"/>
      <c r="E28" s="7"/>
      <c r="F28" s="7"/>
      <c r="G28" s="8"/>
      <c r="H28" s="6"/>
      <c r="I28" s="6"/>
      <c r="J28" s="6"/>
      <c r="K28" s="22"/>
      <c r="L28" s="7"/>
      <c r="W28">
        <f t="shared" si="4"/>
        <v>0</v>
      </c>
      <c r="X28">
        <v>1.99</v>
      </c>
    </row>
    <row r="29" spans="1:24" x14ac:dyDescent="0.25">
      <c r="B29"/>
      <c r="C29"/>
      <c r="E29" s="7"/>
      <c r="F29" s="7"/>
      <c r="G29" s="8"/>
      <c r="H29" s="6"/>
      <c r="I29" s="6"/>
      <c r="J29" s="6"/>
      <c r="K29" s="22"/>
      <c r="L29" s="7"/>
      <c r="W29">
        <f t="shared" si="4"/>
        <v>0</v>
      </c>
      <c r="X29">
        <v>1.98</v>
      </c>
    </row>
    <row r="30" spans="1:24" x14ac:dyDescent="0.25">
      <c r="B30"/>
      <c r="C30"/>
      <c r="E30" s="7"/>
      <c r="F30" s="7"/>
      <c r="G30" s="8"/>
      <c r="H30" s="6"/>
      <c r="I30" s="6"/>
      <c r="J30" s="6"/>
      <c r="K30" s="22"/>
      <c r="L30" s="7"/>
      <c r="W30">
        <f t="shared" si="4"/>
        <v>0</v>
      </c>
      <c r="X30">
        <v>1.97</v>
      </c>
    </row>
    <row r="31" spans="1:24" x14ac:dyDescent="0.25">
      <c r="B31"/>
      <c r="C31"/>
      <c r="E31" s="7"/>
      <c r="F31" s="7"/>
      <c r="G31" s="8"/>
      <c r="H31" s="6"/>
      <c r="I31" s="6"/>
      <c r="J31" s="6"/>
      <c r="K31" s="22"/>
      <c r="L31" s="7"/>
      <c r="W31">
        <f t="shared" si="4"/>
        <v>0</v>
      </c>
      <c r="X31">
        <v>2</v>
      </c>
    </row>
    <row r="32" spans="1:24" x14ac:dyDescent="0.25">
      <c r="B32"/>
      <c r="C32"/>
      <c r="E32" s="7"/>
      <c r="F32" s="7"/>
      <c r="G32" s="8"/>
      <c r="H32" s="6"/>
      <c r="I32" s="6"/>
      <c r="J32" s="6"/>
      <c r="K32" s="22"/>
      <c r="L32" s="7"/>
      <c r="W32">
        <f t="shared" si="4"/>
        <v>0</v>
      </c>
      <c r="X32">
        <v>1.98</v>
      </c>
    </row>
    <row r="33" spans="2:24" x14ac:dyDescent="0.25">
      <c r="B33"/>
      <c r="C33"/>
      <c r="E33" s="7"/>
      <c r="F33" s="7"/>
      <c r="G33" s="8"/>
      <c r="H33" s="6"/>
      <c r="I33" s="6"/>
      <c r="J33" s="6"/>
      <c r="K33" s="22"/>
      <c r="L33" s="7"/>
      <c r="W33">
        <f t="shared" si="4"/>
        <v>0</v>
      </c>
      <c r="X33">
        <v>1.99</v>
      </c>
    </row>
    <row r="34" spans="2:24" x14ac:dyDescent="0.25">
      <c r="B34"/>
      <c r="C34"/>
      <c r="E34" s="7"/>
      <c r="F34" s="7"/>
      <c r="G34" s="8"/>
      <c r="H34" s="6"/>
      <c r="I34" s="6"/>
      <c r="J34" s="6"/>
      <c r="K34" s="22"/>
      <c r="L34" s="7"/>
      <c r="W34">
        <f t="shared" si="4"/>
        <v>0</v>
      </c>
      <c r="X34">
        <v>1.98</v>
      </c>
    </row>
    <row r="35" spans="2:24" x14ac:dyDescent="0.25">
      <c r="B35"/>
      <c r="C35"/>
      <c r="E35" s="7"/>
      <c r="F35" s="7"/>
      <c r="G35" s="8"/>
      <c r="H35" s="6"/>
      <c r="I35" s="6"/>
      <c r="J35" s="6"/>
      <c r="K35" s="22"/>
      <c r="L35" s="7"/>
      <c r="W35">
        <f t="shared" si="4"/>
        <v>0</v>
      </c>
      <c r="X35">
        <v>1.97</v>
      </c>
    </row>
    <row r="36" spans="2:24" x14ac:dyDescent="0.25">
      <c r="B36"/>
      <c r="C36"/>
      <c r="E36" s="7"/>
      <c r="F36" s="7"/>
      <c r="G36" s="8"/>
      <c r="H36" s="6"/>
      <c r="I36" s="6"/>
      <c r="J36" s="6"/>
      <c r="K36" s="22"/>
      <c r="L36" s="7"/>
      <c r="W36">
        <f t="shared" si="4"/>
        <v>0</v>
      </c>
      <c r="X36">
        <v>2</v>
      </c>
    </row>
    <row r="37" spans="2:24" x14ac:dyDescent="0.25">
      <c r="B37"/>
      <c r="C37"/>
      <c r="E37" s="7"/>
      <c r="F37" s="7"/>
      <c r="G37" s="8"/>
      <c r="H37" s="6"/>
      <c r="I37" s="6"/>
      <c r="J37" s="6"/>
      <c r="K37" s="22"/>
      <c r="L37" s="7"/>
      <c r="W37">
        <f t="shared" si="4"/>
        <v>0</v>
      </c>
      <c r="X37">
        <v>1.98</v>
      </c>
    </row>
    <row r="38" spans="2:24" x14ac:dyDescent="0.25">
      <c r="B38"/>
      <c r="C38"/>
      <c r="E38" s="7"/>
      <c r="F38" s="7"/>
      <c r="G38" s="8"/>
      <c r="H38" s="6"/>
      <c r="I38" s="6"/>
      <c r="J38" s="6"/>
      <c r="K38" s="22"/>
      <c r="L38" s="7"/>
      <c r="W38">
        <f t="shared" si="4"/>
        <v>0</v>
      </c>
      <c r="X38">
        <v>1.99</v>
      </c>
    </row>
    <row r="39" spans="2:24" x14ac:dyDescent="0.25">
      <c r="B39"/>
      <c r="C39"/>
      <c r="E39" s="7"/>
      <c r="F39" s="7"/>
      <c r="G39" s="8"/>
      <c r="H39" s="6"/>
      <c r="I39" s="6"/>
      <c r="J39" s="6"/>
      <c r="K39" s="22"/>
      <c r="L39" s="7"/>
      <c r="W39">
        <f t="shared" si="4"/>
        <v>0</v>
      </c>
      <c r="X39">
        <v>1.98</v>
      </c>
    </row>
    <row r="40" spans="2:24" x14ac:dyDescent="0.25">
      <c r="B40"/>
      <c r="C40"/>
      <c r="E40" s="7"/>
      <c r="F40" s="7"/>
      <c r="G40" s="8"/>
      <c r="H40" s="6"/>
      <c r="I40" s="6"/>
      <c r="J40" s="6"/>
      <c r="K40" s="22"/>
      <c r="L40" s="7"/>
      <c r="N40" s="10"/>
      <c r="W40">
        <f t="shared" si="4"/>
        <v>0</v>
      </c>
      <c r="X40">
        <v>1.99</v>
      </c>
    </row>
    <row r="41" spans="2:24" x14ac:dyDescent="0.25">
      <c r="B41"/>
      <c r="C41"/>
      <c r="E41" s="7"/>
      <c r="F41" s="7"/>
      <c r="G41" s="8"/>
      <c r="H41" s="6"/>
      <c r="I41" s="6"/>
      <c r="J41" s="6"/>
      <c r="K41" s="22"/>
      <c r="L41" s="7"/>
      <c r="N41" s="10"/>
      <c r="W41">
        <f t="shared" si="4"/>
        <v>0</v>
      </c>
      <c r="X41">
        <v>1.98</v>
      </c>
    </row>
    <row r="42" spans="2:24" x14ac:dyDescent="0.25">
      <c r="B42"/>
      <c r="C42"/>
      <c r="E42" s="7"/>
      <c r="F42" s="7"/>
      <c r="G42" s="8"/>
      <c r="H42" s="6"/>
      <c r="I42" s="6"/>
      <c r="J42" s="6"/>
      <c r="K42" s="22"/>
      <c r="L42" s="7"/>
      <c r="N42" s="10"/>
      <c r="W42">
        <f t="shared" si="4"/>
        <v>0</v>
      </c>
      <c r="X42">
        <v>1.97</v>
      </c>
    </row>
    <row r="43" spans="2:24" x14ac:dyDescent="0.25">
      <c r="B43"/>
      <c r="C43"/>
      <c r="E43" s="7"/>
      <c r="F43" s="7"/>
      <c r="G43" s="8"/>
      <c r="H43" s="6"/>
      <c r="I43" s="6"/>
      <c r="J43" s="6"/>
      <c r="K43" s="22"/>
      <c r="L43" s="7"/>
      <c r="N43" s="10"/>
      <c r="W43">
        <f t="shared" si="4"/>
        <v>0</v>
      </c>
      <c r="X43">
        <v>2</v>
      </c>
    </row>
    <row r="44" spans="2:24" x14ac:dyDescent="0.25">
      <c r="B44"/>
      <c r="C44"/>
      <c r="E44" s="7"/>
      <c r="F44" s="7"/>
      <c r="G44" s="8"/>
      <c r="H44" s="6"/>
      <c r="I44" s="6"/>
      <c r="J44" s="6"/>
      <c r="K44" s="22"/>
      <c r="L44" s="7"/>
      <c r="N44" s="10"/>
      <c r="W44">
        <f t="shared" si="4"/>
        <v>0</v>
      </c>
      <c r="X44">
        <v>1.98</v>
      </c>
    </row>
    <row r="45" spans="2:24" x14ac:dyDescent="0.25">
      <c r="B45"/>
      <c r="C45"/>
      <c r="E45" s="7"/>
      <c r="F45" s="7"/>
      <c r="G45" s="8"/>
      <c r="H45" s="6"/>
      <c r="I45" s="6"/>
      <c r="J45" s="6"/>
      <c r="K45" s="22"/>
      <c r="L45" s="7"/>
      <c r="W45">
        <f t="shared" si="4"/>
        <v>0</v>
      </c>
      <c r="X45">
        <v>1.99</v>
      </c>
    </row>
    <row r="46" spans="2:24" x14ac:dyDescent="0.25">
      <c r="B46"/>
      <c r="C46"/>
      <c r="E46" s="7"/>
      <c r="F46" s="7"/>
      <c r="G46" s="8"/>
      <c r="H46" s="6"/>
      <c r="I46" s="6"/>
      <c r="J46" s="6"/>
      <c r="K46" s="22"/>
      <c r="L46" s="7"/>
      <c r="W46">
        <f t="shared" si="4"/>
        <v>0</v>
      </c>
      <c r="X46">
        <v>1.98</v>
      </c>
    </row>
    <row r="47" spans="2:24" x14ac:dyDescent="0.25">
      <c r="B47"/>
      <c r="C47"/>
      <c r="E47" s="7"/>
      <c r="F47" s="7"/>
      <c r="G47" s="8"/>
      <c r="H47" s="6"/>
      <c r="I47" s="6"/>
      <c r="J47" s="6"/>
      <c r="K47" s="22"/>
      <c r="L47" s="7"/>
      <c r="W47">
        <f t="shared" si="4"/>
        <v>0</v>
      </c>
      <c r="X47">
        <v>1.97</v>
      </c>
    </row>
    <row r="48" spans="2:24" x14ac:dyDescent="0.25">
      <c r="B48"/>
      <c r="C48"/>
      <c r="E48" s="7"/>
      <c r="F48" s="7"/>
      <c r="G48" s="8"/>
      <c r="H48" s="6"/>
      <c r="I48" s="6"/>
      <c r="J48" s="6"/>
      <c r="K48" s="22"/>
      <c r="L48" s="7"/>
      <c r="W48">
        <f t="shared" si="4"/>
        <v>0</v>
      </c>
      <c r="X48">
        <v>2</v>
      </c>
    </row>
    <row r="49" spans="2:24" x14ac:dyDescent="0.25">
      <c r="B49"/>
      <c r="C49"/>
      <c r="E49" s="7"/>
      <c r="F49" s="7"/>
      <c r="G49" s="8"/>
      <c r="H49" s="6"/>
      <c r="I49" s="6"/>
      <c r="J49" s="6"/>
      <c r="K49" s="22"/>
      <c r="L49" s="7"/>
      <c r="W49">
        <f t="shared" si="4"/>
        <v>0</v>
      </c>
      <c r="X49">
        <v>1.98</v>
      </c>
    </row>
    <row r="50" spans="2:24" x14ac:dyDescent="0.25">
      <c r="B50"/>
      <c r="C50"/>
      <c r="E50" s="7"/>
      <c r="F50" s="7"/>
      <c r="G50" s="8"/>
      <c r="H50" s="6"/>
      <c r="I50" s="6"/>
      <c r="J50" s="6"/>
      <c r="K50" s="22"/>
      <c r="L50" s="7"/>
      <c r="W50">
        <f t="shared" si="4"/>
        <v>0</v>
      </c>
      <c r="X50">
        <v>1.99</v>
      </c>
    </row>
    <row r="51" spans="2:24" x14ac:dyDescent="0.25">
      <c r="B51"/>
      <c r="C51"/>
      <c r="E51" s="7"/>
      <c r="F51" s="7"/>
      <c r="G51" s="8"/>
      <c r="H51" s="6"/>
      <c r="I51" s="6"/>
      <c r="J51" s="6"/>
      <c r="K51" s="22"/>
      <c r="L51" s="7"/>
      <c r="W51">
        <f t="shared" si="4"/>
        <v>0</v>
      </c>
      <c r="X51">
        <v>1.98</v>
      </c>
    </row>
    <row r="52" spans="2:24" x14ac:dyDescent="0.25">
      <c r="B52"/>
      <c r="C52"/>
      <c r="E52" s="7"/>
      <c r="F52" s="7"/>
      <c r="G52" s="8"/>
      <c r="H52" s="6"/>
      <c r="I52" s="6"/>
      <c r="J52" s="6"/>
      <c r="K52" s="22"/>
      <c r="L52" s="7"/>
      <c r="W52">
        <f t="shared" si="4"/>
        <v>0</v>
      </c>
      <c r="X52">
        <v>1.99</v>
      </c>
    </row>
    <row r="53" spans="2:24" x14ac:dyDescent="0.25">
      <c r="B53"/>
      <c r="C53"/>
      <c r="E53" s="7"/>
      <c r="F53" s="7"/>
      <c r="G53" s="8"/>
      <c r="H53" s="6"/>
      <c r="I53" s="6"/>
      <c r="J53" s="6"/>
      <c r="K53" s="22"/>
      <c r="L53" s="7"/>
      <c r="W53">
        <f t="shared" si="4"/>
        <v>0</v>
      </c>
      <c r="X53">
        <v>1.98</v>
      </c>
    </row>
    <row r="54" spans="2:24" x14ac:dyDescent="0.25">
      <c r="B54"/>
      <c r="C54"/>
      <c r="E54" s="7"/>
      <c r="F54" s="7"/>
      <c r="G54" s="8"/>
      <c r="H54" s="6"/>
      <c r="I54" s="6"/>
      <c r="J54" s="6"/>
      <c r="K54" s="22"/>
      <c r="L54" s="7"/>
      <c r="W54">
        <f t="shared" si="4"/>
        <v>0</v>
      </c>
      <c r="X54">
        <v>1.97</v>
      </c>
    </row>
    <row r="55" spans="2:24" x14ac:dyDescent="0.25">
      <c r="B55"/>
      <c r="C55"/>
      <c r="E55" s="7"/>
      <c r="F55" s="7"/>
      <c r="G55" s="8"/>
      <c r="H55" s="6"/>
      <c r="I55" s="6"/>
      <c r="J55" s="6"/>
      <c r="K55" s="22"/>
      <c r="L55" s="7"/>
      <c r="W55">
        <f t="shared" si="4"/>
        <v>0</v>
      </c>
      <c r="X55">
        <v>2</v>
      </c>
    </row>
    <row r="56" spans="2:24" x14ac:dyDescent="0.25">
      <c r="B56"/>
      <c r="C56"/>
      <c r="E56" s="7"/>
      <c r="F56" s="7"/>
      <c r="G56" s="8"/>
      <c r="H56" s="6"/>
      <c r="I56" s="6"/>
      <c r="J56" s="6"/>
      <c r="K56" s="22"/>
      <c r="L56" s="7"/>
      <c r="W56">
        <f t="shared" si="4"/>
        <v>0</v>
      </c>
      <c r="X56">
        <v>1.98</v>
      </c>
    </row>
    <row r="57" spans="2:24" x14ac:dyDescent="0.25">
      <c r="B57" s="11"/>
      <c r="C57" s="9"/>
      <c r="E57" s="7"/>
      <c r="F57" s="7"/>
      <c r="G57" s="8"/>
      <c r="I57" s="6"/>
      <c r="J57" s="6"/>
      <c r="K57" s="22"/>
      <c r="L57" s="7"/>
      <c r="W57">
        <f t="shared" si="4"/>
        <v>0</v>
      </c>
      <c r="X57">
        <v>1.99</v>
      </c>
    </row>
    <row r="58" spans="2:24" x14ac:dyDescent="0.25">
      <c r="B58" s="11"/>
      <c r="C58" s="9"/>
      <c r="E58" s="7"/>
      <c r="F58" s="7"/>
      <c r="G58" s="8"/>
      <c r="I58" s="6"/>
      <c r="J58" s="6"/>
      <c r="K58" s="22"/>
      <c r="L58" s="7"/>
      <c r="W58">
        <f t="shared" si="4"/>
        <v>0</v>
      </c>
      <c r="X58">
        <v>1.98</v>
      </c>
    </row>
    <row r="59" spans="2:24" x14ac:dyDescent="0.25">
      <c r="B59" s="11"/>
      <c r="C59" s="9"/>
      <c r="E59" s="7"/>
      <c r="F59" s="7"/>
      <c r="G59" s="8"/>
      <c r="I59" s="6"/>
      <c r="J59" s="6"/>
      <c r="K59" s="22"/>
      <c r="L59" s="7"/>
      <c r="W59">
        <f t="shared" si="4"/>
        <v>0</v>
      </c>
      <c r="X59">
        <v>1.97</v>
      </c>
    </row>
    <row r="60" spans="2:24" x14ac:dyDescent="0.25">
      <c r="B60" s="11"/>
      <c r="C60" s="9"/>
      <c r="E60" s="7"/>
      <c r="F60" s="7"/>
      <c r="G60" s="8"/>
      <c r="I60" s="6"/>
      <c r="J60" s="6"/>
      <c r="K60" s="22"/>
      <c r="L60" s="7"/>
      <c r="W60">
        <f t="shared" si="4"/>
        <v>0</v>
      </c>
      <c r="X60">
        <v>2</v>
      </c>
    </row>
    <row r="61" spans="2:24" x14ac:dyDescent="0.25">
      <c r="B61" s="11"/>
      <c r="C61" s="9"/>
      <c r="E61" s="7"/>
      <c r="F61" s="7"/>
      <c r="G61" s="8"/>
      <c r="I61" s="6"/>
      <c r="J61" s="6"/>
      <c r="K61" s="22"/>
      <c r="L61" s="7"/>
      <c r="W61">
        <f t="shared" si="4"/>
        <v>0</v>
      </c>
      <c r="X61">
        <v>1.98</v>
      </c>
    </row>
    <row r="62" spans="2:24" x14ac:dyDescent="0.25">
      <c r="B62" s="11"/>
      <c r="C62" s="9"/>
      <c r="E62" s="7"/>
      <c r="F62" s="7"/>
      <c r="G62" s="8"/>
      <c r="I62" s="6"/>
      <c r="J62" s="6"/>
      <c r="K62" s="22"/>
      <c r="L62" s="7"/>
      <c r="W62">
        <f t="shared" si="4"/>
        <v>0</v>
      </c>
      <c r="X62">
        <v>1.99</v>
      </c>
    </row>
    <row r="63" spans="2:24" x14ac:dyDescent="0.25">
      <c r="B63" s="11"/>
      <c r="C63" s="9"/>
      <c r="E63" s="7"/>
      <c r="F63" s="7"/>
      <c r="G63" s="8"/>
      <c r="K63" s="22"/>
      <c r="L63" s="7"/>
    </row>
    <row r="64" spans="2:24" x14ac:dyDescent="0.25">
      <c r="B64" s="11"/>
      <c r="C64" s="9"/>
      <c r="E64" s="7"/>
      <c r="F64" s="7"/>
      <c r="G64" s="8"/>
      <c r="K64" s="22"/>
      <c r="L64" s="7"/>
    </row>
    <row r="65" spans="1:12" x14ac:dyDescent="0.25">
      <c r="B65" s="11"/>
      <c r="C65" s="9"/>
      <c r="E65" s="7"/>
      <c r="F65" s="7"/>
      <c r="G65" s="8"/>
      <c r="K65" s="22"/>
      <c r="L65" s="7"/>
    </row>
    <row r="66" spans="1:12" x14ac:dyDescent="0.25">
      <c r="A66" s="10"/>
      <c r="B66" s="11"/>
      <c r="C66" s="9"/>
    </row>
    <row r="67" spans="1:12" x14ac:dyDescent="0.25">
      <c r="A67" s="10"/>
      <c r="B67" s="11"/>
      <c r="C67" s="9"/>
    </row>
    <row r="68" spans="1:12" x14ac:dyDescent="0.25">
      <c r="A68" s="10"/>
      <c r="B68" s="11"/>
      <c r="C68" s="9"/>
    </row>
    <row r="69" spans="1:12" x14ac:dyDescent="0.25">
      <c r="A69" s="10"/>
      <c r="B69" s="11"/>
      <c r="C69" s="9"/>
    </row>
    <row r="70" spans="1:12" x14ac:dyDescent="0.25">
      <c r="A70" s="10"/>
      <c r="B70" s="11"/>
      <c r="C70" s="9"/>
      <c r="D70" s="12"/>
      <c r="E70" s="10"/>
    </row>
    <row r="71" spans="1:12" x14ac:dyDescent="0.25">
      <c r="A71" s="10"/>
      <c r="B71" s="11"/>
      <c r="C71" s="9"/>
      <c r="D71" s="12"/>
      <c r="E71" s="10"/>
    </row>
    <row r="72" spans="1:12" x14ac:dyDescent="0.25">
      <c r="A72" s="10"/>
      <c r="B72" s="11"/>
      <c r="C72" s="9"/>
      <c r="D72" s="12"/>
      <c r="E72" s="10"/>
    </row>
    <row r="73" spans="1:12" x14ac:dyDescent="0.25">
      <c r="A73" s="10"/>
      <c r="B73" s="11"/>
      <c r="C73" s="9"/>
      <c r="D73" s="12"/>
      <c r="E73" s="10"/>
    </row>
    <row r="74" spans="1:12" x14ac:dyDescent="0.25">
      <c r="A74" s="10"/>
      <c r="B74" s="11"/>
      <c r="C74" s="9"/>
      <c r="D74" s="12"/>
      <c r="E74" s="10"/>
    </row>
    <row r="75" spans="1:12" x14ac:dyDescent="0.25">
      <c r="A75" s="10"/>
      <c r="B75" s="11"/>
      <c r="C75" s="9"/>
      <c r="D75" s="12"/>
      <c r="E75" s="10"/>
    </row>
    <row r="76" spans="1:12" x14ac:dyDescent="0.25">
      <c r="A76" s="10"/>
      <c r="B76" s="11"/>
      <c r="C76" s="9"/>
      <c r="D76" s="12"/>
      <c r="E76" s="10"/>
    </row>
    <row r="77" spans="1:12" x14ac:dyDescent="0.25">
      <c r="A77" s="10"/>
      <c r="B77" s="11"/>
      <c r="C77" s="9"/>
      <c r="D77" s="12"/>
      <c r="E77" s="10"/>
    </row>
    <row r="78" spans="1:12" x14ac:dyDescent="0.25">
      <c r="A78" s="10"/>
      <c r="B78" s="11"/>
      <c r="C78" s="9"/>
      <c r="D78" s="12"/>
      <c r="E78" s="10"/>
    </row>
    <row r="79" spans="1:12" x14ac:dyDescent="0.25">
      <c r="A79" s="10"/>
      <c r="B79" s="11"/>
      <c r="C79" s="9"/>
      <c r="D79" s="12"/>
      <c r="E79" s="10"/>
    </row>
    <row r="80" spans="1:12" x14ac:dyDescent="0.25">
      <c r="A80" s="10"/>
      <c r="B80" s="11"/>
      <c r="C80" s="9"/>
      <c r="D80" s="12"/>
      <c r="E80" s="10"/>
    </row>
    <row r="81" spans="1:5" x14ac:dyDescent="0.25">
      <c r="A81" s="10"/>
      <c r="B81" s="11"/>
      <c r="C81" s="9"/>
      <c r="D81" s="12"/>
      <c r="E81" s="10"/>
    </row>
    <row r="82" spans="1:5" x14ac:dyDescent="0.25">
      <c r="A82" s="10"/>
      <c r="B82" s="11"/>
      <c r="C82" s="9"/>
      <c r="D82" s="12"/>
      <c r="E82" s="10"/>
    </row>
    <row r="83" spans="1:5" x14ac:dyDescent="0.25">
      <c r="A83" s="10"/>
      <c r="B83" s="11"/>
      <c r="C83" s="9"/>
      <c r="D83" s="12"/>
      <c r="E83" s="10"/>
    </row>
    <row r="84" spans="1:5" x14ac:dyDescent="0.25">
      <c r="A84" s="10"/>
      <c r="B84" s="11"/>
      <c r="C84" s="9"/>
      <c r="D84" s="12"/>
      <c r="E84" s="10"/>
    </row>
    <row r="85" spans="1:5" x14ac:dyDescent="0.25">
      <c r="A85" s="10"/>
      <c r="B85" s="11"/>
      <c r="C85" s="9"/>
      <c r="D85" s="12"/>
      <c r="E85" s="10"/>
    </row>
    <row r="86" spans="1:5" x14ac:dyDescent="0.25">
      <c r="A86" s="10"/>
      <c r="B86" s="11"/>
      <c r="C86" s="9"/>
      <c r="D86" s="12"/>
      <c r="E86" s="10"/>
    </row>
    <row r="87" spans="1:5" x14ac:dyDescent="0.25">
      <c r="A87" s="10"/>
      <c r="B87" s="11"/>
      <c r="C87" s="9"/>
      <c r="D87" s="12"/>
      <c r="E87" s="10"/>
    </row>
    <row r="88" spans="1:5" x14ac:dyDescent="0.25">
      <c r="A88" s="10"/>
      <c r="B88" s="11"/>
      <c r="C88" s="9"/>
      <c r="D88" s="12"/>
      <c r="E88" s="10"/>
    </row>
    <row r="89" spans="1:5" x14ac:dyDescent="0.25">
      <c r="A89" s="10"/>
      <c r="B89" s="11"/>
      <c r="C89" s="9"/>
      <c r="D89" s="12"/>
      <c r="E89" s="10"/>
    </row>
    <row r="90" spans="1:5" x14ac:dyDescent="0.25">
      <c r="A90" s="10"/>
      <c r="B90" s="11"/>
      <c r="C90" s="9"/>
      <c r="D90" s="12"/>
      <c r="E90" s="10"/>
    </row>
    <row r="91" spans="1:5" x14ac:dyDescent="0.25">
      <c r="A91" s="10"/>
      <c r="B91" s="11"/>
      <c r="C91" s="9"/>
      <c r="D91" s="12"/>
      <c r="E91" s="10"/>
    </row>
    <row r="92" spans="1:5" x14ac:dyDescent="0.25">
      <c r="A92" s="10"/>
      <c r="B92" s="11"/>
      <c r="C92" s="9"/>
      <c r="D92" s="12"/>
      <c r="E92" s="10"/>
    </row>
    <row r="93" spans="1:5" x14ac:dyDescent="0.25">
      <c r="A93" s="10"/>
      <c r="B93" s="11"/>
      <c r="C93" s="9"/>
      <c r="D93" s="12"/>
      <c r="E93" s="10"/>
    </row>
    <row r="94" spans="1:5" x14ac:dyDescent="0.25">
      <c r="A94" s="10"/>
      <c r="B94" s="11"/>
      <c r="C94" s="9"/>
      <c r="D94" s="12"/>
      <c r="E94" s="10"/>
    </row>
    <row r="95" spans="1:5" x14ac:dyDescent="0.25">
      <c r="A95" s="10"/>
      <c r="B95" s="11"/>
      <c r="C95" s="9"/>
    </row>
    <row r="96" spans="1:5" x14ac:dyDescent="0.25">
      <c r="A96" s="10"/>
      <c r="B96" s="11"/>
      <c r="C96" s="9"/>
    </row>
    <row r="97" spans="1:3" x14ac:dyDescent="0.25">
      <c r="A97" s="10"/>
      <c r="B97" s="11"/>
      <c r="C97" s="9"/>
    </row>
    <row r="98" spans="1:3" x14ac:dyDescent="0.25">
      <c r="A98" s="10"/>
      <c r="B98" s="11"/>
      <c r="C98" s="9"/>
    </row>
    <row r="99" spans="1:3" x14ac:dyDescent="0.25">
      <c r="A99" s="10"/>
      <c r="B99" s="11"/>
      <c r="C99" s="9"/>
    </row>
    <row r="100" spans="1:3" x14ac:dyDescent="0.25">
      <c r="A100" s="10"/>
      <c r="B100" s="11"/>
      <c r="C100" s="9"/>
    </row>
    <row r="101" spans="1:3" x14ac:dyDescent="0.25">
      <c r="A101" s="10"/>
      <c r="B101" s="11"/>
      <c r="C101" s="9"/>
    </row>
    <row r="102" spans="1:3" x14ac:dyDescent="0.25">
      <c r="A102" s="10"/>
      <c r="B102" s="11"/>
      <c r="C102" s="9"/>
    </row>
    <row r="103" spans="1:3" x14ac:dyDescent="0.25">
      <c r="A103" s="10"/>
      <c r="B103" s="11"/>
      <c r="C103" s="9"/>
    </row>
    <row r="104" spans="1:3" x14ac:dyDescent="0.25">
      <c r="A104" s="10"/>
      <c r="B104" s="11"/>
      <c r="C104" s="9"/>
    </row>
    <row r="105" spans="1:3" x14ac:dyDescent="0.25">
      <c r="A105" s="10"/>
      <c r="B105" s="11"/>
      <c r="C105" s="9"/>
    </row>
    <row r="106" spans="1:3" x14ac:dyDescent="0.25">
      <c r="A106" s="10"/>
      <c r="B106" s="11"/>
      <c r="C106" s="9"/>
    </row>
    <row r="107" spans="1:3" x14ac:dyDescent="0.25">
      <c r="A107" s="10"/>
      <c r="B107" s="11"/>
      <c r="C107" s="9"/>
    </row>
    <row r="108" spans="1:3" x14ac:dyDescent="0.25">
      <c r="A108" s="10"/>
      <c r="B108" s="11"/>
      <c r="C108" s="9"/>
    </row>
    <row r="109" spans="1:3" x14ac:dyDescent="0.25">
      <c r="A109" s="10"/>
      <c r="B109" s="11"/>
      <c r="C109" s="9"/>
    </row>
    <row r="110" spans="1:3" x14ac:dyDescent="0.25">
      <c r="A110" s="10"/>
      <c r="B110" s="11"/>
      <c r="C110" s="9"/>
    </row>
    <row r="111" spans="1:3" x14ac:dyDescent="0.25">
      <c r="A111" s="10"/>
      <c r="B111" s="11"/>
      <c r="C111" s="9"/>
    </row>
    <row r="112" spans="1:3" x14ac:dyDescent="0.25">
      <c r="A112" s="10"/>
      <c r="B112" s="11"/>
      <c r="C112" s="9"/>
    </row>
    <row r="113" spans="1:3" x14ac:dyDescent="0.25">
      <c r="A113" s="10"/>
      <c r="B113" s="11"/>
      <c r="C113" s="9"/>
    </row>
    <row r="114" spans="1:3" x14ac:dyDescent="0.25">
      <c r="A114" s="10"/>
      <c r="B114" s="11"/>
      <c r="C114" s="9"/>
    </row>
    <row r="115" spans="1:3" x14ac:dyDescent="0.25">
      <c r="A115" s="10"/>
      <c r="B115" s="11"/>
      <c r="C115" s="9"/>
    </row>
    <row r="116" spans="1:3" x14ac:dyDescent="0.25">
      <c r="A116" s="10"/>
      <c r="B116" s="11"/>
      <c r="C116" s="9"/>
    </row>
    <row r="117" spans="1:3" x14ac:dyDescent="0.25">
      <c r="A117" s="10"/>
      <c r="B117" s="11"/>
      <c r="C117" s="9"/>
    </row>
    <row r="118" spans="1:3" x14ac:dyDescent="0.25">
      <c r="A118" s="10"/>
      <c r="B118" s="11"/>
      <c r="C118" s="9"/>
    </row>
    <row r="119" spans="1:3" x14ac:dyDescent="0.25">
      <c r="A119" s="10"/>
      <c r="B119" s="11"/>
      <c r="C119" s="9"/>
    </row>
    <row r="120" spans="1:3" x14ac:dyDescent="0.25">
      <c r="A120" s="10"/>
      <c r="B120" s="11"/>
      <c r="C120" s="9"/>
    </row>
    <row r="121" spans="1:3" x14ac:dyDescent="0.25">
      <c r="A121" s="10"/>
      <c r="B121" s="11"/>
      <c r="C121" s="9"/>
    </row>
    <row r="122" spans="1:3" x14ac:dyDescent="0.25">
      <c r="A122" s="10"/>
      <c r="B122" s="11"/>
      <c r="C122" s="9"/>
    </row>
    <row r="123" spans="1:3" x14ac:dyDescent="0.25">
      <c r="A123" s="10"/>
      <c r="B123" s="11"/>
      <c r="C123" s="9"/>
    </row>
    <row r="124" spans="1:3" x14ac:dyDescent="0.25">
      <c r="A124" s="10"/>
      <c r="B124" s="11"/>
      <c r="C124" s="9"/>
    </row>
    <row r="125" spans="1:3" x14ac:dyDescent="0.25">
      <c r="A125" s="10"/>
      <c r="B125" s="11"/>
      <c r="C125" s="9"/>
    </row>
    <row r="126" spans="1:3" x14ac:dyDescent="0.25">
      <c r="A126" s="10"/>
      <c r="B126" s="11"/>
      <c r="C126" s="9"/>
    </row>
    <row r="127" spans="1:3" x14ac:dyDescent="0.25">
      <c r="A127" s="10"/>
      <c r="B127" s="11"/>
      <c r="C127" s="9"/>
    </row>
    <row r="128" spans="1:3" x14ac:dyDescent="0.25">
      <c r="A128" s="10"/>
      <c r="B128" s="11"/>
      <c r="C128" s="9"/>
    </row>
    <row r="129" spans="1:3" x14ac:dyDescent="0.25">
      <c r="A129" s="10"/>
      <c r="B129" s="11"/>
      <c r="C129" s="9"/>
    </row>
    <row r="130" spans="1:3" x14ac:dyDescent="0.25">
      <c r="A130" s="10"/>
      <c r="B130" s="11"/>
      <c r="C130" s="9"/>
    </row>
    <row r="131" spans="1:3" x14ac:dyDescent="0.25">
      <c r="A131" s="10"/>
      <c r="B131" s="11"/>
      <c r="C131" s="9"/>
    </row>
    <row r="132" spans="1:3" x14ac:dyDescent="0.25">
      <c r="A132" s="10"/>
      <c r="B132" s="11"/>
      <c r="C132" s="9"/>
    </row>
    <row r="133" spans="1:3" x14ac:dyDescent="0.25">
      <c r="A133" s="10"/>
      <c r="B133" s="11"/>
      <c r="C133" s="9"/>
    </row>
    <row r="134" spans="1:3" x14ac:dyDescent="0.25">
      <c r="A134" s="10"/>
      <c r="B134" s="11"/>
      <c r="C134" s="9"/>
    </row>
    <row r="135" spans="1:3" x14ac:dyDescent="0.25">
      <c r="A135" s="10"/>
      <c r="B135" s="11"/>
      <c r="C135" s="9"/>
    </row>
    <row r="136" spans="1:3" x14ac:dyDescent="0.25">
      <c r="A136" s="10"/>
      <c r="B136" s="11"/>
      <c r="C136" s="9"/>
    </row>
    <row r="137" spans="1:3" x14ac:dyDescent="0.25">
      <c r="A137" s="10"/>
      <c r="B137" s="11"/>
      <c r="C137" s="9"/>
    </row>
    <row r="138" spans="1:3" x14ac:dyDescent="0.25">
      <c r="A138" s="10"/>
      <c r="B138" s="11"/>
      <c r="C138" s="9"/>
    </row>
    <row r="139" spans="1:3" x14ac:dyDescent="0.25">
      <c r="A139" s="10"/>
      <c r="B139" s="11"/>
      <c r="C139" s="9"/>
    </row>
    <row r="140" spans="1:3" x14ac:dyDescent="0.25">
      <c r="A140" s="10"/>
      <c r="B140" s="11"/>
      <c r="C140" s="9"/>
    </row>
    <row r="141" spans="1:3" x14ac:dyDescent="0.25">
      <c r="A141" s="10"/>
      <c r="B141" s="11"/>
      <c r="C141" s="9"/>
    </row>
    <row r="142" spans="1:3" x14ac:dyDescent="0.25">
      <c r="A142" s="10"/>
      <c r="B142" s="11"/>
      <c r="C142" s="9"/>
    </row>
    <row r="143" spans="1:3" x14ac:dyDescent="0.25">
      <c r="A143" s="10"/>
      <c r="B143" s="11"/>
      <c r="C143" s="9"/>
    </row>
    <row r="144" spans="1:3" x14ac:dyDescent="0.25">
      <c r="A144" s="10"/>
      <c r="B144" s="11"/>
      <c r="C144" s="9"/>
    </row>
    <row r="145" spans="1:3" x14ac:dyDescent="0.25">
      <c r="A145" s="10"/>
      <c r="B145" s="11"/>
      <c r="C145" s="9"/>
    </row>
    <row r="146" spans="1:3" x14ac:dyDescent="0.25">
      <c r="A146" s="10"/>
      <c r="B146" s="11"/>
      <c r="C146" s="9"/>
    </row>
    <row r="147" spans="1:3" x14ac:dyDescent="0.25">
      <c r="A147" s="10"/>
      <c r="B147" s="11"/>
      <c r="C147" s="9"/>
    </row>
    <row r="148" spans="1:3" x14ac:dyDescent="0.25">
      <c r="A148" s="10"/>
      <c r="B148" s="11"/>
      <c r="C148" s="9"/>
    </row>
    <row r="149" spans="1:3" x14ac:dyDescent="0.25">
      <c r="A149" s="10"/>
      <c r="B149" s="11"/>
      <c r="C149" s="9"/>
    </row>
    <row r="150" spans="1:3" x14ac:dyDescent="0.25">
      <c r="A150" s="10"/>
      <c r="B150" s="11"/>
      <c r="C150" s="9"/>
    </row>
    <row r="151" spans="1:3" x14ac:dyDescent="0.25">
      <c r="A151" s="10"/>
      <c r="B151" s="11"/>
      <c r="C151" s="9"/>
    </row>
    <row r="152" spans="1:3" x14ac:dyDescent="0.25">
      <c r="A152" s="10"/>
      <c r="B152" s="11"/>
      <c r="C152" s="9"/>
    </row>
    <row r="153" spans="1:3" x14ac:dyDescent="0.25">
      <c r="A153" s="10"/>
      <c r="B153" s="11"/>
      <c r="C153" s="9"/>
    </row>
    <row r="154" spans="1:3" x14ac:dyDescent="0.25">
      <c r="A154" s="10"/>
      <c r="B154" s="11"/>
      <c r="C154" s="9"/>
    </row>
    <row r="155" spans="1:3" x14ac:dyDescent="0.25">
      <c r="A155" s="10"/>
      <c r="B155" s="11"/>
      <c r="C155" s="9"/>
    </row>
    <row r="156" spans="1:3" x14ac:dyDescent="0.25">
      <c r="A156" s="10"/>
      <c r="B156" s="11"/>
      <c r="C156" s="9"/>
    </row>
    <row r="157" spans="1:3" x14ac:dyDescent="0.25">
      <c r="A157" s="10"/>
      <c r="B157" s="11"/>
      <c r="C157" s="9"/>
    </row>
    <row r="158" spans="1:3" x14ac:dyDescent="0.25">
      <c r="A158" s="10"/>
      <c r="B158" s="11"/>
      <c r="C158" s="9"/>
    </row>
    <row r="159" spans="1:3" x14ac:dyDescent="0.25">
      <c r="A159" s="10"/>
      <c r="B159" s="11"/>
      <c r="C159" s="9"/>
    </row>
    <row r="160" spans="1:3" x14ac:dyDescent="0.25">
      <c r="A160" s="10"/>
      <c r="B160" s="11"/>
      <c r="C160" s="9"/>
    </row>
    <row r="161" spans="1:3" x14ac:dyDescent="0.25">
      <c r="A161" s="10"/>
      <c r="B161" s="11"/>
      <c r="C161" s="9"/>
    </row>
    <row r="162" spans="1:3" x14ac:dyDescent="0.25">
      <c r="A162" s="10"/>
      <c r="B162" s="11"/>
      <c r="C162" s="9"/>
    </row>
    <row r="163" spans="1:3" x14ac:dyDescent="0.25">
      <c r="A163" s="10"/>
      <c r="B163" s="11"/>
      <c r="C163" s="9"/>
    </row>
    <row r="164" spans="1:3" x14ac:dyDescent="0.25">
      <c r="A164" s="10"/>
      <c r="B164" s="11"/>
      <c r="C164" s="9"/>
    </row>
    <row r="165" spans="1:3" x14ac:dyDescent="0.25">
      <c r="A165" s="10"/>
      <c r="B165" s="11"/>
      <c r="C165" s="9"/>
    </row>
    <row r="166" spans="1:3" x14ac:dyDescent="0.25">
      <c r="A166" s="10"/>
      <c r="B166" s="11"/>
      <c r="C166" s="9"/>
    </row>
    <row r="167" spans="1:3" x14ac:dyDescent="0.25">
      <c r="A167" s="10"/>
      <c r="B167" s="11"/>
      <c r="C167" s="9"/>
    </row>
    <row r="168" spans="1:3" x14ac:dyDescent="0.25">
      <c r="A168" s="10"/>
      <c r="B168" s="11"/>
      <c r="C168" s="9"/>
    </row>
    <row r="169" spans="1:3" x14ac:dyDescent="0.25">
      <c r="A169" s="10"/>
      <c r="B169" s="11"/>
      <c r="C169" s="9"/>
    </row>
    <row r="170" spans="1:3" x14ac:dyDescent="0.25">
      <c r="A170" s="10"/>
      <c r="B170" s="11"/>
      <c r="C170" s="9"/>
    </row>
    <row r="171" spans="1:3" x14ac:dyDescent="0.25">
      <c r="A171" s="10"/>
      <c r="B171" s="11"/>
      <c r="C171" s="9"/>
    </row>
    <row r="172" spans="1:3" x14ac:dyDescent="0.25">
      <c r="A172" s="10"/>
      <c r="B172" s="11"/>
      <c r="C172" s="9"/>
    </row>
    <row r="173" spans="1:3" x14ac:dyDescent="0.25">
      <c r="A173" s="10"/>
      <c r="B173" s="11"/>
      <c r="C173" s="9"/>
    </row>
    <row r="174" spans="1:3" x14ac:dyDescent="0.25">
      <c r="A174" s="10"/>
      <c r="B174" s="11"/>
      <c r="C174" s="9"/>
    </row>
    <row r="175" spans="1:3" x14ac:dyDescent="0.25">
      <c r="A175" s="10"/>
      <c r="B175" s="11"/>
      <c r="C175" s="9"/>
    </row>
    <row r="176" spans="1:3" x14ac:dyDescent="0.25">
      <c r="A176" s="10"/>
      <c r="B176" s="11"/>
      <c r="C176" s="9"/>
    </row>
    <row r="177" spans="1:3" x14ac:dyDescent="0.25">
      <c r="A177" s="10"/>
      <c r="B177" s="11"/>
      <c r="C177" s="9"/>
    </row>
    <row r="178" spans="1:3" x14ac:dyDescent="0.25">
      <c r="A178" s="10"/>
      <c r="B178" s="11"/>
      <c r="C178" s="9"/>
    </row>
    <row r="179" spans="1:3" x14ac:dyDescent="0.25">
      <c r="A179" s="10"/>
      <c r="B179" s="11"/>
      <c r="C179" s="9"/>
    </row>
    <row r="180" spans="1:3" x14ac:dyDescent="0.25">
      <c r="A180" s="10"/>
      <c r="B180" s="11"/>
      <c r="C180" s="9"/>
    </row>
    <row r="181" spans="1:3" x14ac:dyDescent="0.25">
      <c r="A181" s="10"/>
      <c r="B181" s="11"/>
      <c r="C181" s="9"/>
    </row>
    <row r="182" spans="1:3" x14ac:dyDescent="0.25">
      <c r="A182" s="10"/>
      <c r="B182" s="11"/>
      <c r="C182" s="9"/>
    </row>
    <row r="183" spans="1:3" x14ac:dyDescent="0.25">
      <c r="A183" s="10"/>
      <c r="B183" s="11"/>
      <c r="C183" s="9"/>
    </row>
    <row r="184" spans="1:3" x14ac:dyDescent="0.25">
      <c r="A184" s="10"/>
      <c r="B184" s="11"/>
      <c r="C184" s="9"/>
    </row>
    <row r="185" spans="1:3" x14ac:dyDescent="0.25">
      <c r="B185" s="12"/>
    </row>
    <row r="186" spans="1:3" x14ac:dyDescent="0.25">
      <c r="B186" s="12"/>
    </row>
    <row r="187" spans="1:3" x14ac:dyDescent="0.25">
      <c r="B187" s="12"/>
    </row>
    <row r="188" spans="1:3" x14ac:dyDescent="0.25">
      <c r="B188" s="12"/>
    </row>
    <row r="189" spans="1:3" x14ac:dyDescent="0.25">
      <c r="B189" s="12"/>
    </row>
    <row r="190" spans="1:3" x14ac:dyDescent="0.25">
      <c r="B190" s="12"/>
    </row>
    <row r="191" spans="1:3" x14ac:dyDescent="0.25">
      <c r="B191" s="12"/>
    </row>
    <row r="192" spans="1:3" x14ac:dyDescent="0.25">
      <c r="B192" s="12"/>
    </row>
    <row r="193" spans="2:2" x14ac:dyDescent="0.25">
      <c r="B193" s="12"/>
    </row>
    <row r="194" spans="2:2" x14ac:dyDescent="0.25">
      <c r="B194" s="12"/>
    </row>
    <row r="195" spans="2:2" x14ac:dyDescent="0.25">
      <c r="B195" s="12"/>
    </row>
    <row r="196" spans="2:2" x14ac:dyDescent="0.25">
      <c r="B196" s="12"/>
    </row>
    <row r="197" spans="2:2" x14ac:dyDescent="0.25">
      <c r="B197" s="12"/>
    </row>
    <row r="198" spans="2:2" x14ac:dyDescent="0.25">
      <c r="B198" s="12"/>
    </row>
    <row r="199" spans="2:2" x14ac:dyDescent="0.25">
      <c r="B199" s="12"/>
    </row>
    <row r="200" spans="2:2" x14ac:dyDescent="0.25">
      <c r="B200" s="12"/>
    </row>
    <row r="201" spans="2:2" x14ac:dyDescent="0.25">
      <c r="B201" s="12"/>
    </row>
    <row r="202" spans="2:2" x14ac:dyDescent="0.25">
      <c r="B202" s="12"/>
    </row>
    <row r="203" spans="2:2" x14ac:dyDescent="0.25">
      <c r="B203" s="12"/>
    </row>
    <row r="204" spans="2:2" x14ac:dyDescent="0.25">
      <c r="B204" s="12"/>
    </row>
    <row r="205" spans="2:2" x14ac:dyDescent="0.25">
      <c r="B205" s="12"/>
    </row>
    <row r="206" spans="2:2" x14ac:dyDescent="0.25">
      <c r="B206" s="12"/>
    </row>
    <row r="207" spans="2:2" x14ac:dyDescent="0.25">
      <c r="B207" s="12"/>
    </row>
    <row r="208" spans="2:2" x14ac:dyDescent="0.25">
      <c r="B208" s="12"/>
    </row>
    <row r="209" spans="2:2" x14ac:dyDescent="0.25">
      <c r="B209" s="12"/>
    </row>
    <row r="210" spans="2:2" x14ac:dyDescent="0.25">
      <c r="B210" s="12"/>
    </row>
    <row r="211" spans="2:2" x14ac:dyDescent="0.25">
      <c r="B211" s="12"/>
    </row>
    <row r="212" spans="2:2" x14ac:dyDescent="0.25">
      <c r="B212" s="12"/>
    </row>
    <row r="213" spans="2:2" x14ac:dyDescent="0.25">
      <c r="B213" s="12"/>
    </row>
    <row r="214" spans="2:2" x14ac:dyDescent="0.25">
      <c r="B214" s="12"/>
    </row>
    <row r="215" spans="2:2" x14ac:dyDescent="0.25">
      <c r="B215" s="12"/>
    </row>
    <row r="216" spans="2:2" x14ac:dyDescent="0.25">
      <c r="B216" s="12"/>
    </row>
    <row r="217" spans="2:2" x14ac:dyDescent="0.25">
      <c r="B217" s="12"/>
    </row>
    <row r="218" spans="2:2" x14ac:dyDescent="0.25">
      <c r="B218" s="12"/>
    </row>
    <row r="219" spans="2:2" x14ac:dyDescent="0.25">
      <c r="B219" s="12"/>
    </row>
    <row r="220" spans="2:2" x14ac:dyDescent="0.25">
      <c r="B220" s="12"/>
    </row>
    <row r="221" spans="2:2" x14ac:dyDescent="0.25">
      <c r="B221" s="12"/>
    </row>
    <row r="222" spans="2:2" x14ac:dyDescent="0.25">
      <c r="B222" s="12"/>
    </row>
    <row r="223" spans="2:2" x14ac:dyDescent="0.25">
      <c r="B223" s="12"/>
    </row>
    <row r="224" spans="2:2" x14ac:dyDescent="0.25">
      <c r="B224" s="12"/>
    </row>
    <row r="225" spans="2:2" x14ac:dyDescent="0.25">
      <c r="B225" s="12"/>
    </row>
    <row r="226" spans="2:2" x14ac:dyDescent="0.25">
      <c r="B226" s="12"/>
    </row>
    <row r="227" spans="2:2" x14ac:dyDescent="0.25">
      <c r="B227" s="12"/>
    </row>
    <row r="228" spans="2:2" x14ac:dyDescent="0.25">
      <c r="B228" s="12"/>
    </row>
    <row r="229" spans="2:2" x14ac:dyDescent="0.25">
      <c r="B229" s="12"/>
    </row>
    <row r="230" spans="2:2" x14ac:dyDescent="0.25">
      <c r="B230" s="12"/>
    </row>
    <row r="231" spans="2:2" x14ac:dyDescent="0.25">
      <c r="B231" s="12"/>
    </row>
    <row r="232" spans="2:2" x14ac:dyDescent="0.25">
      <c r="B232" s="12"/>
    </row>
    <row r="233" spans="2:2" x14ac:dyDescent="0.25">
      <c r="B233" s="12"/>
    </row>
    <row r="234" spans="2:2" x14ac:dyDescent="0.25">
      <c r="B234" s="12"/>
    </row>
    <row r="235" spans="2:2" x14ac:dyDescent="0.25">
      <c r="B235" s="12"/>
    </row>
    <row r="236" spans="2:2" x14ac:dyDescent="0.25">
      <c r="B236" s="12"/>
    </row>
    <row r="237" spans="2:2" x14ac:dyDescent="0.25">
      <c r="B237" s="12"/>
    </row>
    <row r="238" spans="2:2" x14ac:dyDescent="0.25">
      <c r="B238" s="12"/>
    </row>
    <row r="239" spans="2:2" x14ac:dyDescent="0.25">
      <c r="B239" s="12"/>
    </row>
    <row r="240" spans="2:2" x14ac:dyDescent="0.25">
      <c r="B240" s="12"/>
    </row>
    <row r="241" spans="2:2" x14ac:dyDescent="0.25">
      <c r="B241" s="12"/>
    </row>
    <row r="242" spans="2:2" x14ac:dyDescent="0.25">
      <c r="B242" s="12"/>
    </row>
    <row r="243" spans="2:2" x14ac:dyDescent="0.25">
      <c r="B243" s="12"/>
    </row>
    <row r="244" spans="2:2" x14ac:dyDescent="0.25">
      <c r="B244" s="12"/>
    </row>
    <row r="245" spans="2:2" x14ac:dyDescent="0.25">
      <c r="B245" s="12"/>
    </row>
    <row r="246" spans="2:2" x14ac:dyDescent="0.25">
      <c r="B246" s="12"/>
    </row>
    <row r="247" spans="2:2" x14ac:dyDescent="0.25">
      <c r="B247" s="12"/>
    </row>
    <row r="248" spans="2:2" x14ac:dyDescent="0.25">
      <c r="B248" s="12"/>
    </row>
    <row r="249" spans="2:2" x14ac:dyDescent="0.25">
      <c r="B249" s="12"/>
    </row>
    <row r="250" spans="2:2" x14ac:dyDescent="0.25">
      <c r="B250" s="12"/>
    </row>
    <row r="251" spans="2:2" x14ac:dyDescent="0.25">
      <c r="B251" s="12"/>
    </row>
    <row r="252" spans="2:2" x14ac:dyDescent="0.25">
      <c r="B252" s="12"/>
    </row>
    <row r="253" spans="2:2" x14ac:dyDescent="0.25">
      <c r="B253" s="12"/>
    </row>
    <row r="254" spans="2:2" x14ac:dyDescent="0.25">
      <c r="B254" s="12"/>
    </row>
    <row r="255" spans="2:2" x14ac:dyDescent="0.25">
      <c r="B255" s="12"/>
    </row>
    <row r="256" spans="2:2" x14ac:dyDescent="0.25">
      <c r="B256" s="12"/>
    </row>
    <row r="257" spans="2:2" x14ac:dyDescent="0.25">
      <c r="B257" s="12"/>
    </row>
    <row r="258" spans="2:2" x14ac:dyDescent="0.25">
      <c r="B258" s="12"/>
    </row>
    <row r="259" spans="2:2" x14ac:dyDescent="0.25">
      <c r="B259" s="12"/>
    </row>
    <row r="260" spans="2:2" x14ac:dyDescent="0.25">
      <c r="B260" s="12"/>
    </row>
    <row r="261" spans="2:2" x14ac:dyDescent="0.25">
      <c r="B261" s="12"/>
    </row>
    <row r="262" spans="2:2" x14ac:dyDescent="0.25">
      <c r="B262" s="12"/>
    </row>
    <row r="263" spans="2:2" x14ac:dyDescent="0.25">
      <c r="B263" s="12"/>
    </row>
    <row r="264" spans="2:2" x14ac:dyDescent="0.25">
      <c r="B264" s="12"/>
    </row>
    <row r="265" spans="2:2" x14ac:dyDescent="0.25">
      <c r="B265" s="12"/>
    </row>
    <row r="266" spans="2:2" x14ac:dyDescent="0.25">
      <c r="B266" s="12"/>
    </row>
    <row r="267" spans="2:2" x14ac:dyDescent="0.25">
      <c r="B267" s="12"/>
    </row>
    <row r="268" spans="2:2" x14ac:dyDescent="0.25">
      <c r="B268" s="12"/>
    </row>
    <row r="269" spans="2:2" x14ac:dyDescent="0.25">
      <c r="B269" s="12"/>
    </row>
    <row r="270" spans="2:2" x14ac:dyDescent="0.25">
      <c r="B270" s="12"/>
    </row>
    <row r="271" spans="2:2" x14ac:dyDescent="0.25">
      <c r="B271" s="12"/>
    </row>
    <row r="272" spans="2:2" x14ac:dyDescent="0.25">
      <c r="B272" s="12"/>
    </row>
    <row r="273" spans="2:2" x14ac:dyDescent="0.25">
      <c r="B273" s="12"/>
    </row>
    <row r="274" spans="2:2" x14ac:dyDescent="0.25">
      <c r="B274" s="12"/>
    </row>
    <row r="275" spans="2:2" x14ac:dyDescent="0.25">
      <c r="B275" s="12"/>
    </row>
    <row r="276" spans="2:2" x14ac:dyDescent="0.25">
      <c r="B276" s="12"/>
    </row>
    <row r="277" spans="2:2" x14ac:dyDescent="0.25">
      <c r="B277" s="12"/>
    </row>
    <row r="278" spans="2:2" x14ac:dyDescent="0.25">
      <c r="B278" s="12"/>
    </row>
    <row r="279" spans="2:2" x14ac:dyDescent="0.25">
      <c r="B279" s="12"/>
    </row>
    <row r="280" spans="2:2" x14ac:dyDescent="0.25">
      <c r="B280" s="12"/>
    </row>
    <row r="281" spans="2:2" x14ac:dyDescent="0.25">
      <c r="B281" s="12"/>
    </row>
    <row r="282" spans="2:2" x14ac:dyDescent="0.25">
      <c r="B282" s="12"/>
    </row>
    <row r="283" spans="2:2" x14ac:dyDescent="0.25">
      <c r="B283" s="12"/>
    </row>
    <row r="284" spans="2:2" x14ac:dyDescent="0.25">
      <c r="B284" s="12"/>
    </row>
    <row r="285" spans="2:2" x14ac:dyDescent="0.25">
      <c r="B285" s="12"/>
    </row>
    <row r="286" spans="2:2" x14ac:dyDescent="0.25">
      <c r="B286" s="12"/>
    </row>
    <row r="287" spans="2:2" x14ac:dyDescent="0.25">
      <c r="B287" s="12"/>
    </row>
    <row r="288" spans="2:2" x14ac:dyDescent="0.25">
      <c r="B288" s="12"/>
    </row>
    <row r="289" spans="2:2" x14ac:dyDescent="0.25">
      <c r="B289" s="12"/>
    </row>
    <row r="290" spans="2:2" x14ac:dyDescent="0.25">
      <c r="B290" s="12"/>
    </row>
    <row r="291" spans="2:2" x14ac:dyDescent="0.25">
      <c r="B291" s="12"/>
    </row>
    <row r="292" spans="2:2" x14ac:dyDescent="0.25">
      <c r="B292" s="12"/>
    </row>
    <row r="293" spans="2:2" x14ac:dyDescent="0.25">
      <c r="B293" s="12"/>
    </row>
    <row r="294" spans="2:2" x14ac:dyDescent="0.25">
      <c r="B294" s="12"/>
    </row>
    <row r="295" spans="2:2" x14ac:dyDescent="0.25">
      <c r="B295" s="12"/>
    </row>
    <row r="296" spans="2:2" x14ac:dyDescent="0.25">
      <c r="B296" s="12"/>
    </row>
    <row r="297" spans="2:2" x14ac:dyDescent="0.25">
      <c r="B297" s="12"/>
    </row>
    <row r="298" spans="2:2" x14ac:dyDescent="0.25">
      <c r="B298" s="12"/>
    </row>
    <row r="299" spans="2:2" x14ac:dyDescent="0.25">
      <c r="B299" s="12"/>
    </row>
    <row r="300" spans="2:2" x14ac:dyDescent="0.25">
      <c r="B300" s="12"/>
    </row>
    <row r="301" spans="2:2" x14ac:dyDescent="0.25">
      <c r="B301" s="12"/>
    </row>
    <row r="302" spans="2:2" x14ac:dyDescent="0.25">
      <c r="B302" s="12"/>
    </row>
    <row r="303" spans="2:2" x14ac:dyDescent="0.25">
      <c r="B303" s="12"/>
    </row>
    <row r="304" spans="2:2" x14ac:dyDescent="0.25">
      <c r="B304" s="12"/>
    </row>
    <row r="305" spans="2:2" x14ac:dyDescent="0.25">
      <c r="B305" s="12"/>
    </row>
    <row r="306" spans="2:2" x14ac:dyDescent="0.25">
      <c r="B306" s="12"/>
    </row>
    <row r="307" spans="2:2" x14ac:dyDescent="0.25">
      <c r="B307" s="12"/>
    </row>
    <row r="308" spans="2:2" x14ac:dyDescent="0.25">
      <c r="B308" s="12"/>
    </row>
    <row r="309" spans="2:2" x14ac:dyDescent="0.25">
      <c r="B309" s="12"/>
    </row>
    <row r="310" spans="2:2" x14ac:dyDescent="0.25">
      <c r="B310" s="12"/>
    </row>
    <row r="311" spans="2:2" x14ac:dyDescent="0.25">
      <c r="B311" s="12"/>
    </row>
    <row r="312" spans="2:2" x14ac:dyDescent="0.25">
      <c r="B312" s="12"/>
    </row>
    <row r="313" spans="2:2" x14ac:dyDescent="0.25">
      <c r="B313" s="12"/>
    </row>
    <row r="314" spans="2:2" x14ac:dyDescent="0.25">
      <c r="B314" s="12"/>
    </row>
    <row r="315" spans="2:2" x14ac:dyDescent="0.25">
      <c r="B315" s="12"/>
    </row>
    <row r="316" spans="2:2" x14ac:dyDescent="0.25">
      <c r="B316" s="12"/>
    </row>
    <row r="317" spans="2:2" x14ac:dyDescent="0.25">
      <c r="B317" s="12"/>
    </row>
    <row r="318" spans="2:2" x14ac:dyDescent="0.25">
      <c r="B318" s="12"/>
    </row>
    <row r="319" spans="2:2" x14ac:dyDescent="0.25">
      <c r="B319" s="12"/>
    </row>
    <row r="320" spans="2:2" x14ac:dyDescent="0.25">
      <c r="B320" s="12"/>
    </row>
    <row r="321" spans="2:2" x14ac:dyDescent="0.25">
      <c r="B321" s="12"/>
    </row>
    <row r="322" spans="2:2" x14ac:dyDescent="0.25">
      <c r="B322" s="12"/>
    </row>
    <row r="323" spans="2:2" x14ac:dyDescent="0.25">
      <c r="B323" s="12"/>
    </row>
    <row r="324" spans="2:2" x14ac:dyDescent="0.25">
      <c r="B324" s="12"/>
    </row>
    <row r="325" spans="2:2" x14ac:dyDescent="0.25">
      <c r="B325" s="12"/>
    </row>
    <row r="326" spans="2:2" x14ac:dyDescent="0.25">
      <c r="B326" s="12"/>
    </row>
    <row r="327" spans="2:2" x14ac:dyDescent="0.25">
      <c r="B327" s="12"/>
    </row>
    <row r="328" spans="2:2" x14ac:dyDescent="0.25">
      <c r="B328" s="12"/>
    </row>
    <row r="329" spans="2:2" x14ac:dyDescent="0.25">
      <c r="B329" s="12"/>
    </row>
    <row r="330" spans="2:2" x14ac:dyDescent="0.25">
      <c r="B330" s="12"/>
    </row>
    <row r="331" spans="2:2" x14ac:dyDescent="0.25">
      <c r="B331" s="12"/>
    </row>
    <row r="332" spans="2:2" x14ac:dyDescent="0.25">
      <c r="B332" s="12"/>
    </row>
    <row r="333" spans="2:2" x14ac:dyDescent="0.25">
      <c r="B333" s="12"/>
    </row>
    <row r="334" spans="2:2" x14ac:dyDescent="0.25">
      <c r="B334" s="12"/>
    </row>
    <row r="335" spans="2:2" x14ac:dyDescent="0.25">
      <c r="B335" s="12"/>
    </row>
    <row r="336" spans="2:2" x14ac:dyDescent="0.25">
      <c r="B336" s="12"/>
    </row>
    <row r="337" spans="2:2" x14ac:dyDescent="0.25">
      <c r="B337" s="12"/>
    </row>
    <row r="338" spans="2:2" x14ac:dyDescent="0.25">
      <c r="B338" s="12"/>
    </row>
    <row r="339" spans="2:2" x14ac:dyDescent="0.25">
      <c r="B339" s="12"/>
    </row>
    <row r="340" spans="2:2" x14ac:dyDescent="0.25">
      <c r="B340" s="12"/>
    </row>
    <row r="341" spans="2:2" x14ac:dyDescent="0.25">
      <c r="B341" s="12"/>
    </row>
    <row r="342" spans="2:2" x14ac:dyDescent="0.25">
      <c r="B342" s="12"/>
    </row>
    <row r="343" spans="2:2" x14ac:dyDescent="0.25">
      <c r="B343" s="12"/>
    </row>
    <row r="344" spans="2:2" x14ac:dyDescent="0.25">
      <c r="B344" s="12"/>
    </row>
    <row r="345" spans="2:2" x14ac:dyDescent="0.25">
      <c r="B345" s="12"/>
    </row>
    <row r="346" spans="2:2" x14ac:dyDescent="0.25">
      <c r="B346" s="12"/>
    </row>
    <row r="347" spans="2:2" x14ac:dyDescent="0.25">
      <c r="B347" s="12"/>
    </row>
    <row r="348" spans="2:2" x14ac:dyDescent="0.25">
      <c r="B348" s="12"/>
    </row>
    <row r="349" spans="2:2" x14ac:dyDescent="0.25">
      <c r="B349" s="12"/>
    </row>
    <row r="350" spans="2:2" x14ac:dyDescent="0.25">
      <c r="B350" s="12"/>
    </row>
    <row r="351" spans="2:2" x14ac:dyDescent="0.25">
      <c r="B351" s="12"/>
    </row>
    <row r="352" spans="2:2" x14ac:dyDescent="0.25">
      <c r="B352" s="12"/>
    </row>
    <row r="353" spans="2:2" x14ac:dyDescent="0.25">
      <c r="B353" s="12"/>
    </row>
    <row r="354" spans="2:2" x14ac:dyDescent="0.25">
      <c r="B354" s="12"/>
    </row>
    <row r="355" spans="2:2" x14ac:dyDescent="0.25">
      <c r="B355" s="12"/>
    </row>
    <row r="356" spans="2:2" x14ac:dyDescent="0.25">
      <c r="B356" s="12"/>
    </row>
    <row r="357" spans="2:2" x14ac:dyDescent="0.25">
      <c r="B357" s="12"/>
    </row>
    <row r="358" spans="2:2" x14ac:dyDescent="0.25">
      <c r="B358" s="12"/>
    </row>
    <row r="359" spans="2:2" x14ac:dyDescent="0.25">
      <c r="B359" s="12"/>
    </row>
    <row r="360" spans="2:2" x14ac:dyDescent="0.25">
      <c r="B360" s="12"/>
    </row>
    <row r="361" spans="2:2" x14ac:dyDescent="0.25">
      <c r="B361" s="12"/>
    </row>
    <row r="362" spans="2:2" x14ac:dyDescent="0.25">
      <c r="B362" s="12"/>
    </row>
    <row r="363" spans="2:2" x14ac:dyDescent="0.25">
      <c r="B363" s="12"/>
    </row>
    <row r="364" spans="2:2" x14ac:dyDescent="0.25">
      <c r="B364" s="12"/>
    </row>
    <row r="365" spans="2:2" x14ac:dyDescent="0.25">
      <c r="B365" s="12"/>
    </row>
    <row r="366" spans="2:2" x14ac:dyDescent="0.25">
      <c r="B366" s="12"/>
    </row>
    <row r="367" spans="2:2" x14ac:dyDescent="0.25">
      <c r="B367" s="12"/>
    </row>
    <row r="368" spans="2:2" x14ac:dyDescent="0.25">
      <c r="B368" s="12"/>
    </row>
    <row r="369" spans="2:2" x14ac:dyDescent="0.25">
      <c r="B369" s="12"/>
    </row>
    <row r="370" spans="2:2" x14ac:dyDescent="0.25">
      <c r="B370" s="12"/>
    </row>
    <row r="371" spans="2:2" x14ac:dyDescent="0.25">
      <c r="B371" s="12"/>
    </row>
    <row r="372" spans="2:2" x14ac:dyDescent="0.25">
      <c r="B372" s="12"/>
    </row>
    <row r="373" spans="2:2" x14ac:dyDescent="0.25">
      <c r="B373" s="12"/>
    </row>
    <row r="374" spans="2:2" x14ac:dyDescent="0.25">
      <c r="B374" s="12"/>
    </row>
    <row r="375" spans="2:2" x14ac:dyDescent="0.25">
      <c r="B375" s="12"/>
    </row>
    <row r="376" spans="2:2" x14ac:dyDescent="0.25">
      <c r="B376" s="12"/>
    </row>
    <row r="377" spans="2:2" x14ac:dyDescent="0.25">
      <c r="B377" s="12"/>
    </row>
    <row r="378" spans="2:2" x14ac:dyDescent="0.25">
      <c r="B378" s="12"/>
    </row>
    <row r="379" spans="2:2" x14ac:dyDescent="0.25">
      <c r="B379" s="12"/>
    </row>
    <row r="380" spans="2:2" x14ac:dyDescent="0.25">
      <c r="B380" s="12"/>
    </row>
    <row r="381" spans="2:2" x14ac:dyDescent="0.25">
      <c r="B381" s="12"/>
    </row>
    <row r="382" spans="2:2" x14ac:dyDescent="0.25">
      <c r="B382" s="12"/>
    </row>
    <row r="383" spans="2:2" x14ac:dyDescent="0.25">
      <c r="B383" s="12"/>
    </row>
    <row r="384" spans="2:2" x14ac:dyDescent="0.25">
      <c r="B384" s="12"/>
    </row>
    <row r="385" spans="2:2" x14ac:dyDescent="0.25">
      <c r="B385" s="12"/>
    </row>
    <row r="386" spans="2:2" x14ac:dyDescent="0.25">
      <c r="B386" s="12"/>
    </row>
    <row r="387" spans="2:2" x14ac:dyDescent="0.25">
      <c r="B387" s="12"/>
    </row>
    <row r="388" spans="2:2" x14ac:dyDescent="0.25">
      <c r="B388" s="12"/>
    </row>
    <row r="389" spans="2:2" x14ac:dyDescent="0.25">
      <c r="B389" s="12"/>
    </row>
    <row r="390" spans="2:2" x14ac:dyDescent="0.25">
      <c r="B390" s="12"/>
    </row>
    <row r="391" spans="2:2" x14ac:dyDescent="0.25">
      <c r="B391" s="12"/>
    </row>
    <row r="392" spans="2:2" x14ac:dyDescent="0.25">
      <c r="B392" s="12"/>
    </row>
    <row r="393" spans="2:2" x14ac:dyDescent="0.25">
      <c r="B393" s="12"/>
    </row>
    <row r="394" spans="2:2" x14ac:dyDescent="0.25">
      <c r="B394" s="12"/>
    </row>
    <row r="395" spans="2:2" x14ac:dyDescent="0.25">
      <c r="B395" s="12"/>
    </row>
    <row r="396" spans="2:2" x14ac:dyDescent="0.25">
      <c r="B396" s="12"/>
    </row>
    <row r="397" spans="2:2" x14ac:dyDescent="0.25">
      <c r="B397" s="12"/>
    </row>
    <row r="398" spans="2:2" x14ac:dyDescent="0.25">
      <c r="B398" s="12"/>
    </row>
    <row r="399" spans="2:2" x14ac:dyDescent="0.25">
      <c r="B399" s="12"/>
    </row>
    <row r="400" spans="2:2" x14ac:dyDescent="0.25">
      <c r="B400" s="12"/>
    </row>
    <row r="401" spans="2:2" x14ac:dyDescent="0.25">
      <c r="B401" s="12"/>
    </row>
    <row r="402" spans="2:2" x14ac:dyDescent="0.25">
      <c r="B402" s="12"/>
    </row>
    <row r="403" spans="2:2" x14ac:dyDescent="0.25">
      <c r="B403" s="12"/>
    </row>
    <row r="404" spans="2:2" x14ac:dyDescent="0.25">
      <c r="B404" s="12"/>
    </row>
    <row r="405" spans="2:2" x14ac:dyDescent="0.25">
      <c r="B405" s="12"/>
    </row>
    <row r="406" spans="2:2" x14ac:dyDescent="0.25">
      <c r="B406" s="12"/>
    </row>
    <row r="407" spans="2:2" x14ac:dyDescent="0.25">
      <c r="B407" s="12"/>
    </row>
    <row r="408" spans="2:2" x14ac:dyDescent="0.25">
      <c r="B408" s="12"/>
    </row>
    <row r="409" spans="2:2" x14ac:dyDescent="0.25">
      <c r="B409" s="12"/>
    </row>
    <row r="410" spans="2:2" x14ac:dyDescent="0.25">
      <c r="B410" s="12"/>
    </row>
    <row r="411" spans="2:2" x14ac:dyDescent="0.25">
      <c r="B411" s="12"/>
    </row>
    <row r="412" spans="2:2" x14ac:dyDescent="0.25">
      <c r="B412" s="12"/>
    </row>
    <row r="413" spans="2:2" x14ac:dyDescent="0.25">
      <c r="B413" s="12"/>
    </row>
    <row r="414" spans="2:2" x14ac:dyDescent="0.25">
      <c r="B414" s="12"/>
    </row>
    <row r="415" spans="2:2" x14ac:dyDescent="0.25">
      <c r="B415" s="12"/>
    </row>
    <row r="416" spans="2:2" x14ac:dyDescent="0.25">
      <c r="B416" s="12"/>
    </row>
    <row r="417" spans="2:2" x14ac:dyDescent="0.25">
      <c r="B417" s="12"/>
    </row>
    <row r="418" spans="2:2" x14ac:dyDescent="0.25">
      <c r="B418" s="12"/>
    </row>
    <row r="419" spans="2:2" x14ac:dyDescent="0.25">
      <c r="B419" s="12"/>
    </row>
    <row r="420" spans="2:2" x14ac:dyDescent="0.25">
      <c r="B420" s="12"/>
    </row>
    <row r="421" spans="2:2" x14ac:dyDescent="0.25">
      <c r="B421" s="12"/>
    </row>
    <row r="422" spans="2:2" x14ac:dyDescent="0.25">
      <c r="B422" s="12"/>
    </row>
    <row r="423" spans="2:2" x14ac:dyDescent="0.25">
      <c r="B423" s="12"/>
    </row>
    <row r="424" spans="2:2" x14ac:dyDescent="0.25">
      <c r="B424" s="12"/>
    </row>
    <row r="425" spans="2:2" x14ac:dyDescent="0.25">
      <c r="B425" s="12"/>
    </row>
    <row r="426" spans="2:2" x14ac:dyDescent="0.25">
      <c r="B426" s="12"/>
    </row>
    <row r="427" spans="2:2" x14ac:dyDescent="0.25">
      <c r="B427" s="12"/>
    </row>
    <row r="428" spans="2:2" x14ac:dyDescent="0.25">
      <c r="B428" s="12"/>
    </row>
    <row r="429" spans="2:2" x14ac:dyDescent="0.25">
      <c r="B429" s="12"/>
    </row>
    <row r="430" spans="2:2" x14ac:dyDescent="0.25">
      <c r="B430" s="12"/>
    </row>
    <row r="431" spans="2:2" x14ac:dyDescent="0.25">
      <c r="B431" s="12"/>
    </row>
    <row r="432" spans="2:2" x14ac:dyDescent="0.25">
      <c r="B432" s="12"/>
    </row>
    <row r="433" spans="2:2" x14ac:dyDescent="0.25">
      <c r="B433" s="12"/>
    </row>
    <row r="434" spans="2:2" x14ac:dyDescent="0.25">
      <c r="B434" s="12"/>
    </row>
    <row r="435" spans="2:2" x14ac:dyDescent="0.25">
      <c r="B435" s="12"/>
    </row>
    <row r="436" spans="2:2" x14ac:dyDescent="0.25">
      <c r="B436" s="12"/>
    </row>
    <row r="437" spans="2:2" x14ac:dyDescent="0.25">
      <c r="B437" s="12"/>
    </row>
    <row r="438" spans="2:2" x14ac:dyDescent="0.25">
      <c r="B438" s="12"/>
    </row>
    <row r="439" spans="2:2" x14ac:dyDescent="0.25">
      <c r="B439" s="12"/>
    </row>
    <row r="440" spans="2:2" x14ac:dyDescent="0.25">
      <c r="B440" s="12"/>
    </row>
    <row r="441" spans="2:2" x14ac:dyDescent="0.25">
      <c r="B441" s="12"/>
    </row>
    <row r="442" spans="2:2" x14ac:dyDescent="0.25">
      <c r="B442" s="12"/>
    </row>
    <row r="443" spans="2:2" x14ac:dyDescent="0.25">
      <c r="B443" s="12"/>
    </row>
    <row r="444" spans="2:2" x14ac:dyDescent="0.25">
      <c r="B444" s="12"/>
    </row>
    <row r="445" spans="2:2" x14ac:dyDescent="0.25">
      <c r="B445" s="12"/>
    </row>
    <row r="446" spans="2:2" x14ac:dyDescent="0.25">
      <c r="B446" s="12"/>
    </row>
    <row r="447" spans="2:2" x14ac:dyDescent="0.25">
      <c r="B447" s="12"/>
    </row>
    <row r="448" spans="2:2" x14ac:dyDescent="0.25">
      <c r="B448" s="12"/>
    </row>
    <row r="449" spans="2:2" x14ac:dyDescent="0.25">
      <c r="B449" s="12"/>
    </row>
    <row r="450" spans="2:2" x14ac:dyDescent="0.25">
      <c r="B450" s="12"/>
    </row>
    <row r="451" spans="2:2" x14ac:dyDescent="0.25">
      <c r="B451" s="12"/>
    </row>
    <row r="452" spans="2:2" x14ac:dyDescent="0.25">
      <c r="B452" s="12"/>
    </row>
    <row r="453" spans="2:2" x14ac:dyDescent="0.25">
      <c r="B453" s="12"/>
    </row>
    <row r="454" spans="2:2" x14ac:dyDescent="0.25">
      <c r="B454" s="12"/>
    </row>
    <row r="455" spans="2:2" x14ac:dyDescent="0.25">
      <c r="B455" s="12"/>
    </row>
    <row r="456" spans="2:2" x14ac:dyDescent="0.25">
      <c r="B456" s="12"/>
    </row>
    <row r="457" spans="2:2" x14ac:dyDescent="0.25">
      <c r="B457" s="12"/>
    </row>
    <row r="458" spans="2:2" x14ac:dyDescent="0.25">
      <c r="B458" s="12"/>
    </row>
    <row r="459" spans="2:2" x14ac:dyDescent="0.25">
      <c r="B459" s="12"/>
    </row>
    <row r="460" spans="2:2" x14ac:dyDescent="0.25">
      <c r="B460" s="12"/>
    </row>
    <row r="461" spans="2:2" x14ac:dyDescent="0.25">
      <c r="B461" s="12"/>
    </row>
    <row r="462" spans="2:2" x14ac:dyDescent="0.25">
      <c r="B462" s="12"/>
    </row>
    <row r="463" spans="2:2" x14ac:dyDescent="0.25">
      <c r="B463" s="12"/>
    </row>
    <row r="464" spans="2:2" x14ac:dyDescent="0.25">
      <c r="B464" s="12"/>
    </row>
    <row r="465" spans="2:2" x14ac:dyDescent="0.25">
      <c r="B465" s="12"/>
    </row>
    <row r="466" spans="2:2" x14ac:dyDescent="0.25">
      <c r="B466" s="12"/>
    </row>
    <row r="467" spans="2:2" x14ac:dyDescent="0.25">
      <c r="B467" s="12"/>
    </row>
    <row r="468" spans="2:2" x14ac:dyDescent="0.25">
      <c r="B468" s="12"/>
    </row>
    <row r="469" spans="2:2" x14ac:dyDescent="0.25">
      <c r="B469" s="12"/>
    </row>
    <row r="470" spans="2:2" x14ac:dyDescent="0.25">
      <c r="B470" s="12"/>
    </row>
    <row r="471" spans="2:2" x14ac:dyDescent="0.25">
      <c r="B471" s="12"/>
    </row>
    <row r="472" spans="2:2" x14ac:dyDescent="0.25">
      <c r="B472" s="12"/>
    </row>
    <row r="473" spans="2:2" x14ac:dyDescent="0.25">
      <c r="B473" s="12"/>
    </row>
    <row r="474" spans="2:2" x14ac:dyDescent="0.25">
      <c r="B474" s="12"/>
    </row>
    <row r="475" spans="2:2" x14ac:dyDescent="0.25">
      <c r="B475" s="12"/>
    </row>
    <row r="476" spans="2:2" x14ac:dyDescent="0.25">
      <c r="B476" s="12"/>
    </row>
    <row r="477" spans="2:2" x14ac:dyDescent="0.25">
      <c r="B477" s="12"/>
    </row>
    <row r="478" spans="2:2" x14ac:dyDescent="0.25">
      <c r="B478" s="12"/>
    </row>
    <row r="479" spans="2:2" x14ac:dyDescent="0.25">
      <c r="B479" s="12"/>
    </row>
    <row r="480" spans="2:2" x14ac:dyDescent="0.25">
      <c r="B480" s="12"/>
    </row>
    <row r="481" spans="2:2" x14ac:dyDescent="0.25">
      <c r="B481" s="12"/>
    </row>
    <row r="482" spans="2:2" x14ac:dyDescent="0.25">
      <c r="B482" s="12"/>
    </row>
    <row r="483" spans="2:2" x14ac:dyDescent="0.25">
      <c r="B483" s="12"/>
    </row>
    <row r="484" spans="2:2" x14ac:dyDescent="0.25">
      <c r="B484" s="12"/>
    </row>
    <row r="485" spans="2:2" x14ac:dyDescent="0.25">
      <c r="B485" s="12"/>
    </row>
    <row r="486" spans="2:2" x14ac:dyDescent="0.25">
      <c r="B486" s="12"/>
    </row>
    <row r="487" spans="2:2" x14ac:dyDescent="0.25">
      <c r="B487" s="12"/>
    </row>
    <row r="488" spans="2:2" x14ac:dyDescent="0.25">
      <c r="B488" s="12"/>
    </row>
    <row r="489" spans="2:2" x14ac:dyDescent="0.25">
      <c r="B489" s="12"/>
    </row>
    <row r="490" spans="2:2" x14ac:dyDescent="0.25">
      <c r="B490" s="12"/>
    </row>
    <row r="491" spans="2:2" x14ac:dyDescent="0.25">
      <c r="B491" s="12"/>
    </row>
    <row r="492" spans="2:2" x14ac:dyDescent="0.25">
      <c r="B492" s="12"/>
    </row>
    <row r="493" spans="2:2" x14ac:dyDescent="0.25">
      <c r="B493" s="12"/>
    </row>
    <row r="494" spans="2:2" x14ac:dyDescent="0.25">
      <c r="B494" s="12"/>
    </row>
    <row r="495" spans="2:2" x14ac:dyDescent="0.25">
      <c r="B495" s="12"/>
    </row>
    <row r="496" spans="2:2" x14ac:dyDescent="0.25">
      <c r="B496" s="12"/>
    </row>
    <row r="497" spans="2:2" x14ac:dyDescent="0.25">
      <c r="B497" s="12"/>
    </row>
    <row r="498" spans="2:2" x14ac:dyDescent="0.25">
      <c r="B498" s="12"/>
    </row>
    <row r="499" spans="2:2" x14ac:dyDescent="0.25">
      <c r="B499" s="12"/>
    </row>
    <row r="500" spans="2:2" x14ac:dyDescent="0.25">
      <c r="B500" s="12"/>
    </row>
    <row r="501" spans="2:2" x14ac:dyDescent="0.25">
      <c r="B501" s="12"/>
    </row>
    <row r="502" spans="2:2" x14ac:dyDescent="0.25">
      <c r="B502" s="12"/>
    </row>
    <row r="503" spans="2:2" x14ac:dyDescent="0.25">
      <c r="B503" s="12"/>
    </row>
    <row r="504" spans="2:2" x14ac:dyDescent="0.25">
      <c r="B504" s="12"/>
    </row>
    <row r="505" spans="2:2" x14ac:dyDescent="0.25">
      <c r="B505" s="12"/>
    </row>
    <row r="506" spans="2:2" x14ac:dyDescent="0.25">
      <c r="B506" s="12"/>
    </row>
    <row r="507" spans="2:2" x14ac:dyDescent="0.25">
      <c r="B507" s="12"/>
    </row>
    <row r="508" spans="2:2" x14ac:dyDescent="0.25">
      <c r="B508" s="12"/>
    </row>
    <row r="509" spans="2:2" x14ac:dyDescent="0.25">
      <c r="B509" s="12"/>
    </row>
    <row r="510" spans="2:2" x14ac:dyDescent="0.25">
      <c r="B510" s="12"/>
    </row>
    <row r="511" spans="2:2" x14ac:dyDescent="0.25">
      <c r="B511" s="12"/>
    </row>
    <row r="512" spans="2:2" x14ac:dyDescent="0.25">
      <c r="B512" s="12"/>
    </row>
    <row r="513" spans="2:2" x14ac:dyDescent="0.25">
      <c r="B513" s="12"/>
    </row>
    <row r="514" spans="2:2" x14ac:dyDescent="0.25">
      <c r="B514" s="12"/>
    </row>
    <row r="515" spans="2:2" x14ac:dyDescent="0.25">
      <c r="B515" s="12"/>
    </row>
    <row r="516" spans="2:2" x14ac:dyDescent="0.25">
      <c r="B516" s="12"/>
    </row>
    <row r="517" spans="2:2" x14ac:dyDescent="0.25">
      <c r="B517" s="12"/>
    </row>
    <row r="518" spans="2:2" x14ac:dyDescent="0.25">
      <c r="B518" s="12"/>
    </row>
    <row r="519" spans="2:2" x14ac:dyDescent="0.25">
      <c r="B519" s="12"/>
    </row>
    <row r="520" spans="2:2" x14ac:dyDescent="0.25">
      <c r="B520" s="12"/>
    </row>
    <row r="521" spans="2:2" x14ac:dyDescent="0.25">
      <c r="B521" s="12"/>
    </row>
    <row r="522" spans="2:2" x14ac:dyDescent="0.25">
      <c r="B522" s="12"/>
    </row>
    <row r="523" spans="2:2" x14ac:dyDescent="0.25">
      <c r="B523" s="12"/>
    </row>
    <row r="524" spans="2:2" x14ac:dyDescent="0.25">
      <c r="B524" s="12"/>
    </row>
    <row r="525" spans="2:2" x14ac:dyDescent="0.25">
      <c r="B525" s="12"/>
    </row>
    <row r="526" spans="2:2" x14ac:dyDescent="0.25">
      <c r="B526" s="12"/>
    </row>
    <row r="527" spans="2:2" x14ac:dyDescent="0.25">
      <c r="B527" s="12"/>
    </row>
    <row r="528" spans="2:2" x14ac:dyDescent="0.25">
      <c r="B528" s="12"/>
    </row>
    <row r="529" spans="2:2" x14ac:dyDescent="0.25">
      <c r="B529" s="12"/>
    </row>
    <row r="530" spans="2:2" x14ac:dyDescent="0.25">
      <c r="B530" s="12"/>
    </row>
    <row r="531" spans="2:2" x14ac:dyDescent="0.25">
      <c r="B531" s="12"/>
    </row>
    <row r="532" spans="2:2" x14ac:dyDescent="0.25">
      <c r="B532" s="12"/>
    </row>
    <row r="533" spans="2:2" x14ac:dyDescent="0.25">
      <c r="B533" s="12"/>
    </row>
    <row r="534" spans="2:2" x14ac:dyDescent="0.25">
      <c r="B534" s="12"/>
    </row>
    <row r="535" spans="2:2" x14ac:dyDescent="0.25">
      <c r="B535" s="12"/>
    </row>
    <row r="536" spans="2:2" x14ac:dyDescent="0.25">
      <c r="B536" s="12"/>
    </row>
    <row r="537" spans="2:2" x14ac:dyDescent="0.25">
      <c r="B537" s="12"/>
    </row>
    <row r="538" spans="2:2" x14ac:dyDescent="0.25">
      <c r="B538" s="12"/>
    </row>
    <row r="539" spans="2:2" x14ac:dyDescent="0.25">
      <c r="B539" s="12"/>
    </row>
    <row r="540" spans="2:2" x14ac:dyDescent="0.25">
      <c r="B540" s="12"/>
    </row>
    <row r="541" spans="2:2" x14ac:dyDescent="0.25">
      <c r="B541" s="12"/>
    </row>
    <row r="542" spans="2:2" x14ac:dyDescent="0.25">
      <c r="B542" s="12"/>
    </row>
    <row r="543" spans="2:2" x14ac:dyDescent="0.25">
      <c r="B543" s="12"/>
    </row>
    <row r="544" spans="2:2" x14ac:dyDescent="0.25">
      <c r="B544" s="12"/>
    </row>
    <row r="545" spans="2:2" x14ac:dyDescent="0.25">
      <c r="B545" s="12"/>
    </row>
    <row r="546" spans="2:2" x14ac:dyDescent="0.25">
      <c r="B546" s="12"/>
    </row>
    <row r="547" spans="2:2" x14ac:dyDescent="0.25">
      <c r="B547" s="12"/>
    </row>
    <row r="548" spans="2:2" x14ac:dyDescent="0.25">
      <c r="B548" s="12"/>
    </row>
    <row r="549" spans="2:2" x14ac:dyDescent="0.25">
      <c r="B549" s="12"/>
    </row>
    <row r="550" spans="2:2" x14ac:dyDescent="0.25">
      <c r="B550" s="12"/>
    </row>
    <row r="551" spans="2:2" x14ac:dyDescent="0.25">
      <c r="B551" s="12"/>
    </row>
    <row r="552" spans="2:2" x14ac:dyDescent="0.25">
      <c r="B552" s="12"/>
    </row>
    <row r="553" spans="2:2" x14ac:dyDescent="0.25">
      <c r="B553" s="12"/>
    </row>
    <row r="554" spans="2:2" x14ac:dyDescent="0.25">
      <c r="B554" s="12"/>
    </row>
    <row r="555" spans="2:2" x14ac:dyDescent="0.25">
      <c r="B555" s="12"/>
    </row>
    <row r="556" spans="2:2" x14ac:dyDescent="0.25">
      <c r="B556" s="12"/>
    </row>
    <row r="557" spans="2:2" x14ac:dyDescent="0.25">
      <c r="B557" s="12"/>
    </row>
    <row r="558" spans="2:2" x14ac:dyDescent="0.25">
      <c r="B558" s="12"/>
    </row>
    <row r="559" spans="2:2" x14ac:dyDescent="0.25">
      <c r="B559" s="12"/>
    </row>
    <row r="560" spans="2:2" x14ac:dyDescent="0.25">
      <c r="B560" s="12"/>
    </row>
    <row r="561" spans="2:2" x14ac:dyDescent="0.25">
      <c r="B561" s="12"/>
    </row>
    <row r="562" spans="2:2" x14ac:dyDescent="0.25">
      <c r="B562" s="12"/>
    </row>
    <row r="563" spans="2:2" x14ac:dyDescent="0.25">
      <c r="B563" s="12"/>
    </row>
    <row r="564" spans="2:2" x14ac:dyDescent="0.25">
      <c r="B564" s="12"/>
    </row>
    <row r="565" spans="2:2" x14ac:dyDescent="0.25">
      <c r="B565" s="12"/>
    </row>
    <row r="566" spans="2:2" x14ac:dyDescent="0.25">
      <c r="B566" s="12"/>
    </row>
    <row r="567" spans="2:2" x14ac:dyDescent="0.25">
      <c r="B567" s="12"/>
    </row>
    <row r="568" spans="2:2" x14ac:dyDescent="0.25">
      <c r="B568" s="12"/>
    </row>
    <row r="569" spans="2:2" x14ac:dyDescent="0.25">
      <c r="B569" s="12"/>
    </row>
    <row r="570" spans="2:2" x14ac:dyDescent="0.25">
      <c r="B570" s="12"/>
    </row>
    <row r="571" spans="2:2" x14ac:dyDescent="0.25">
      <c r="B571" s="12"/>
    </row>
    <row r="572" spans="2:2" x14ac:dyDescent="0.25">
      <c r="B572" s="12"/>
    </row>
    <row r="573" spans="2:2" x14ac:dyDescent="0.25">
      <c r="B573" s="12"/>
    </row>
    <row r="574" spans="2:2" x14ac:dyDescent="0.25">
      <c r="B574" s="12"/>
    </row>
    <row r="575" spans="2:2" x14ac:dyDescent="0.25">
      <c r="B575" s="12"/>
    </row>
    <row r="576" spans="2:2" x14ac:dyDescent="0.25">
      <c r="B576" s="12"/>
    </row>
    <row r="577" spans="2:2" x14ac:dyDescent="0.25">
      <c r="B577" s="12"/>
    </row>
    <row r="578" spans="2:2" x14ac:dyDescent="0.25">
      <c r="B578" s="12"/>
    </row>
    <row r="579" spans="2:2" x14ac:dyDescent="0.25">
      <c r="B579" s="12"/>
    </row>
    <row r="580" spans="2:2" x14ac:dyDescent="0.25">
      <c r="B580" s="12"/>
    </row>
    <row r="581" spans="2:2" x14ac:dyDescent="0.25">
      <c r="B581" s="12"/>
    </row>
    <row r="582" spans="2:2" x14ac:dyDescent="0.25">
      <c r="B582" s="12"/>
    </row>
    <row r="583" spans="2:2" x14ac:dyDescent="0.25">
      <c r="B583" s="12"/>
    </row>
    <row r="584" spans="2:2" x14ac:dyDescent="0.25">
      <c r="B584" s="12"/>
    </row>
    <row r="585" spans="2:2" x14ac:dyDescent="0.25">
      <c r="B585" s="12"/>
    </row>
    <row r="586" spans="2:2" x14ac:dyDescent="0.25">
      <c r="B586" s="12"/>
    </row>
    <row r="587" spans="2:2" x14ac:dyDescent="0.25">
      <c r="B587" s="12"/>
    </row>
    <row r="588" spans="2:2" x14ac:dyDescent="0.25">
      <c r="B588" s="12"/>
    </row>
    <row r="589" spans="2:2" x14ac:dyDescent="0.25">
      <c r="B589" s="12"/>
    </row>
    <row r="590" spans="2:2" x14ac:dyDescent="0.25">
      <c r="B590" s="12"/>
    </row>
    <row r="591" spans="2:2" x14ac:dyDescent="0.25">
      <c r="B591" s="12"/>
    </row>
    <row r="592" spans="2:2" x14ac:dyDescent="0.25">
      <c r="B592" s="12"/>
    </row>
    <row r="593" spans="2:2" x14ac:dyDescent="0.25">
      <c r="B593" s="12"/>
    </row>
    <row r="594" spans="2:2" x14ac:dyDescent="0.25">
      <c r="B594" s="12"/>
    </row>
    <row r="595" spans="2:2" x14ac:dyDescent="0.25">
      <c r="B595" s="12"/>
    </row>
    <row r="596" spans="2:2" x14ac:dyDescent="0.25">
      <c r="B596" s="12"/>
    </row>
    <row r="597" spans="2:2" x14ac:dyDescent="0.25">
      <c r="B597" s="12"/>
    </row>
    <row r="598" spans="2:2" x14ac:dyDescent="0.25">
      <c r="B598" s="12"/>
    </row>
    <row r="599" spans="2:2" x14ac:dyDescent="0.25">
      <c r="B599" s="12"/>
    </row>
    <row r="600" spans="2:2" x14ac:dyDescent="0.25">
      <c r="B600" s="12"/>
    </row>
    <row r="601" spans="2:2" x14ac:dyDescent="0.25">
      <c r="B601" s="12"/>
    </row>
    <row r="602" spans="2:2" x14ac:dyDescent="0.25">
      <c r="B602" s="12"/>
    </row>
    <row r="603" spans="2:2" x14ac:dyDescent="0.25">
      <c r="B603" s="12"/>
    </row>
    <row r="604" spans="2:2" x14ac:dyDescent="0.25">
      <c r="B604" s="12"/>
    </row>
    <row r="605" spans="2:2" x14ac:dyDescent="0.25">
      <c r="B605" s="12"/>
    </row>
    <row r="606" spans="2:2" x14ac:dyDescent="0.25">
      <c r="B606" s="12"/>
    </row>
    <row r="607" spans="2:2" x14ac:dyDescent="0.25">
      <c r="B607" s="12"/>
    </row>
    <row r="608" spans="2:2" x14ac:dyDescent="0.25">
      <c r="B608" s="12"/>
    </row>
    <row r="609" spans="2:2" x14ac:dyDescent="0.25">
      <c r="B609" s="12"/>
    </row>
    <row r="610" spans="2:2" x14ac:dyDescent="0.25">
      <c r="B610" s="12"/>
    </row>
    <row r="611" spans="2:2" x14ac:dyDescent="0.25">
      <c r="B611" s="12"/>
    </row>
    <row r="612" spans="2:2" x14ac:dyDescent="0.25">
      <c r="B612" s="12"/>
    </row>
    <row r="613" spans="2:2" x14ac:dyDescent="0.25">
      <c r="B613" s="12"/>
    </row>
    <row r="614" spans="2:2" x14ac:dyDescent="0.25">
      <c r="B614" s="12"/>
    </row>
    <row r="615" spans="2:2" x14ac:dyDescent="0.25">
      <c r="B615" s="12"/>
    </row>
    <row r="616" spans="2:2" x14ac:dyDescent="0.25">
      <c r="B616" s="12"/>
    </row>
    <row r="617" spans="2:2" x14ac:dyDescent="0.25">
      <c r="B617" s="12"/>
    </row>
    <row r="618" spans="2:2" x14ac:dyDescent="0.25">
      <c r="B618" s="12"/>
    </row>
    <row r="619" spans="2:2" x14ac:dyDescent="0.25">
      <c r="B619" s="12"/>
    </row>
    <row r="620" spans="2:2" x14ac:dyDescent="0.25">
      <c r="B620" s="12"/>
    </row>
    <row r="621" spans="2:2" x14ac:dyDescent="0.25">
      <c r="B621" s="12"/>
    </row>
    <row r="622" spans="2:2" x14ac:dyDescent="0.25">
      <c r="B622" s="12"/>
    </row>
    <row r="623" spans="2:2" x14ac:dyDescent="0.25">
      <c r="B623" s="12"/>
    </row>
    <row r="624" spans="2:2" x14ac:dyDescent="0.25">
      <c r="B624" s="12"/>
    </row>
    <row r="625" spans="2:2" x14ac:dyDescent="0.25">
      <c r="B625" s="12"/>
    </row>
    <row r="626" spans="2:2" x14ac:dyDescent="0.25">
      <c r="B626" s="12"/>
    </row>
    <row r="627" spans="2:2" x14ac:dyDescent="0.25">
      <c r="B627" s="12"/>
    </row>
    <row r="628" spans="2:2" x14ac:dyDescent="0.25">
      <c r="B628" s="12"/>
    </row>
    <row r="629" spans="2:2" x14ac:dyDescent="0.25">
      <c r="B629" s="12"/>
    </row>
    <row r="630" spans="2:2" x14ac:dyDescent="0.25">
      <c r="B630" s="12"/>
    </row>
    <row r="631" spans="2:2" x14ac:dyDescent="0.25">
      <c r="B631" s="12"/>
    </row>
    <row r="632" spans="2:2" x14ac:dyDescent="0.25">
      <c r="B632" s="12"/>
    </row>
    <row r="633" spans="2:2" x14ac:dyDescent="0.25">
      <c r="B633" s="12"/>
    </row>
    <row r="634" spans="2:2" x14ac:dyDescent="0.25">
      <c r="B634" s="12"/>
    </row>
    <row r="635" spans="2:2" x14ac:dyDescent="0.25">
      <c r="B635" s="12"/>
    </row>
    <row r="636" spans="2:2" x14ac:dyDescent="0.25">
      <c r="B636" s="12"/>
    </row>
    <row r="637" spans="2:2" x14ac:dyDescent="0.25">
      <c r="B637" s="12"/>
    </row>
    <row r="638" spans="2:2" x14ac:dyDescent="0.25">
      <c r="B638" s="12"/>
    </row>
    <row r="639" spans="2:2" x14ac:dyDescent="0.25">
      <c r="B639" s="12"/>
    </row>
    <row r="640" spans="2:2" x14ac:dyDescent="0.25">
      <c r="B640" s="12"/>
    </row>
    <row r="641" spans="2:2" x14ac:dyDescent="0.25">
      <c r="B641" s="12"/>
    </row>
    <row r="642" spans="2:2" x14ac:dyDescent="0.25">
      <c r="B642" s="12"/>
    </row>
    <row r="643" spans="2:2" x14ac:dyDescent="0.25">
      <c r="B643" s="12"/>
    </row>
    <row r="644" spans="2:2" x14ac:dyDescent="0.25">
      <c r="B644" s="12"/>
    </row>
    <row r="645" spans="2:2" x14ac:dyDescent="0.25">
      <c r="B645" s="12"/>
    </row>
    <row r="646" spans="2:2" x14ac:dyDescent="0.25">
      <c r="B646" s="12"/>
    </row>
    <row r="647" spans="2:2" x14ac:dyDescent="0.25">
      <c r="B647" s="12"/>
    </row>
    <row r="648" spans="2:2" x14ac:dyDescent="0.25">
      <c r="B648" s="12"/>
    </row>
    <row r="649" spans="2:2" x14ac:dyDescent="0.25">
      <c r="B649" s="12"/>
    </row>
    <row r="650" spans="2:2" x14ac:dyDescent="0.25">
      <c r="B650" s="12"/>
    </row>
    <row r="651" spans="2:2" x14ac:dyDescent="0.25">
      <c r="B651" s="12"/>
    </row>
    <row r="652" spans="2:2" x14ac:dyDescent="0.25">
      <c r="B652" s="12"/>
    </row>
    <row r="653" spans="2:2" x14ac:dyDescent="0.25">
      <c r="B653" s="12"/>
    </row>
    <row r="654" spans="2:2" x14ac:dyDescent="0.25">
      <c r="B654" s="12"/>
    </row>
    <row r="655" spans="2:2" x14ac:dyDescent="0.25">
      <c r="B655" s="12"/>
    </row>
    <row r="656" spans="2:2" x14ac:dyDescent="0.25">
      <c r="B656" s="12"/>
    </row>
    <row r="657" spans="2:2" x14ac:dyDescent="0.25">
      <c r="B657" s="12"/>
    </row>
    <row r="658" spans="2:2" x14ac:dyDescent="0.25">
      <c r="B658" s="12"/>
    </row>
    <row r="659" spans="2:2" x14ac:dyDescent="0.25">
      <c r="B659" s="12"/>
    </row>
    <row r="660" spans="2:2" x14ac:dyDescent="0.25">
      <c r="B660" s="12"/>
    </row>
    <row r="661" spans="2:2" x14ac:dyDescent="0.25">
      <c r="B661" s="12"/>
    </row>
    <row r="662" spans="2:2" x14ac:dyDescent="0.25">
      <c r="B662" s="12"/>
    </row>
    <row r="663" spans="2:2" x14ac:dyDescent="0.25">
      <c r="B663" s="12"/>
    </row>
    <row r="664" spans="2:2" x14ac:dyDescent="0.25">
      <c r="B664" s="12"/>
    </row>
    <row r="665" spans="2:2" x14ac:dyDescent="0.25">
      <c r="B665" s="12"/>
    </row>
    <row r="666" spans="2:2" x14ac:dyDescent="0.25">
      <c r="B666" s="12"/>
    </row>
    <row r="667" spans="2:2" x14ac:dyDescent="0.25">
      <c r="B667" s="12"/>
    </row>
    <row r="668" spans="2:2" x14ac:dyDescent="0.25">
      <c r="B668" s="12"/>
    </row>
    <row r="669" spans="2:2" x14ac:dyDescent="0.25">
      <c r="B669" s="12"/>
    </row>
    <row r="670" spans="2:2" x14ac:dyDescent="0.25">
      <c r="B670" s="12"/>
    </row>
    <row r="671" spans="2:2" x14ac:dyDescent="0.25">
      <c r="B671" s="12"/>
    </row>
    <row r="672" spans="2:2" x14ac:dyDescent="0.25">
      <c r="B672" s="12"/>
    </row>
    <row r="673" spans="2:2" x14ac:dyDescent="0.25">
      <c r="B673" s="12"/>
    </row>
    <row r="674" spans="2:2" x14ac:dyDescent="0.25">
      <c r="B674" s="12"/>
    </row>
    <row r="675" spans="2:2" x14ac:dyDescent="0.25">
      <c r="B675" s="12"/>
    </row>
    <row r="676" spans="2:2" x14ac:dyDescent="0.25">
      <c r="B676" s="12"/>
    </row>
    <row r="677" spans="2:2" x14ac:dyDescent="0.25">
      <c r="B677" s="12"/>
    </row>
    <row r="678" spans="2:2" x14ac:dyDescent="0.25">
      <c r="B678" s="12"/>
    </row>
    <row r="679" spans="2:2" x14ac:dyDescent="0.25">
      <c r="B679" s="12"/>
    </row>
    <row r="680" spans="2:2" x14ac:dyDescent="0.25">
      <c r="B680" s="12"/>
    </row>
    <row r="681" spans="2:2" x14ac:dyDescent="0.25">
      <c r="B681" s="12"/>
    </row>
    <row r="682" spans="2:2" x14ac:dyDescent="0.25">
      <c r="B682" s="12"/>
    </row>
    <row r="683" spans="2:2" x14ac:dyDescent="0.25">
      <c r="B683" s="12"/>
    </row>
    <row r="684" spans="2:2" x14ac:dyDescent="0.25">
      <c r="B684" s="12"/>
    </row>
    <row r="685" spans="2:2" x14ac:dyDescent="0.25">
      <c r="B685" s="12"/>
    </row>
    <row r="686" spans="2:2" x14ac:dyDescent="0.25">
      <c r="B686" s="12"/>
    </row>
    <row r="687" spans="2:2" x14ac:dyDescent="0.25">
      <c r="B687" s="12"/>
    </row>
    <row r="688" spans="2:2" x14ac:dyDescent="0.25">
      <c r="B688" s="12"/>
    </row>
    <row r="689" spans="2:2" x14ac:dyDescent="0.25">
      <c r="B689" s="12"/>
    </row>
    <row r="690" spans="2:2" x14ac:dyDescent="0.25">
      <c r="B690" s="12"/>
    </row>
    <row r="691" spans="2:2" x14ac:dyDescent="0.25">
      <c r="B691" s="12"/>
    </row>
    <row r="692" spans="2:2" x14ac:dyDescent="0.25">
      <c r="B692" s="12"/>
    </row>
    <row r="693" spans="2:2" x14ac:dyDescent="0.25">
      <c r="B693" s="12"/>
    </row>
    <row r="694" spans="2:2" x14ac:dyDescent="0.25">
      <c r="B694" s="12"/>
    </row>
    <row r="695" spans="2:2" x14ac:dyDescent="0.25">
      <c r="B695" s="12"/>
    </row>
    <row r="696" spans="2:2" x14ac:dyDescent="0.25">
      <c r="B696" s="12"/>
    </row>
    <row r="697" spans="2:2" x14ac:dyDescent="0.25">
      <c r="B697" s="12"/>
    </row>
    <row r="698" spans="2:2" x14ac:dyDescent="0.25">
      <c r="B698" s="12"/>
    </row>
    <row r="699" spans="2:2" x14ac:dyDescent="0.25">
      <c r="B699" s="12"/>
    </row>
    <row r="700" spans="2:2" x14ac:dyDescent="0.25">
      <c r="B700" s="12"/>
    </row>
    <row r="701" spans="2:2" x14ac:dyDescent="0.25">
      <c r="B701" s="12"/>
    </row>
    <row r="702" spans="2:2" x14ac:dyDescent="0.25">
      <c r="B702" s="12"/>
    </row>
    <row r="703" spans="2:2" x14ac:dyDescent="0.25">
      <c r="B703" s="12"/>
    </row>
    <row r="704" spans="2:2" x14ac:dyDescent="0.25">
      <c r="B704" s="12"/>
    </row>
    <row r="705" spans="2:2" x14ac:dyDescent="0.25">
      <c r="B705" s="12"/>
    </row>
    <row r="706" spans="2:2" x14ac:dyDescent="0.25">
      <c r="B706" s="12"/>
    </row>
    <row r="707" spans="2:2" x14ac:dyDescent="0.25">
      <c r="B707" s="12"/>
    </row>
    <row r="708" spans="2:2" x14ac:dyDescent="0.25">
      <c r="B708" s="12"/>
    </row>
    <row r="709" spans="2:2" x14ac:dyDescent="0.25">
      <c r="B709" s="12"/>
    </row>
    <row r="710" spans="2:2" x14ac:dyDescent="0.25">
      <c r="B710" s="12"/>
    </row>
    <row r="711" spans="2:2" x14ac:dyDescent="0.25">
      <c r="B711" s="12"/>
    </row>
    <row r="712" spans="2:2" x14ac:dyDescent="0.25">
      <c r="B712" s="12"/>
    </row>
    <row r="713" spans="2:2" x14ac:dyDescent="0.25">
      <c r="B713" s="12"/>
    </row>
    <row r="714" spans="2:2" x14ac:dyDescent="0.25">
      <c r="B714" s="12"/>
    </row>
    <row r="715" spans="2:2" x14ac:dyDescent="0.25">
      <c r="B715" s="12"/>
    </row>
    <row r="716" spans="2:2" x14ac:dyDescent="0.25">
      <c r="B716" s="12"/>
    </row>
    <row r="717" spans="2:2" x14ac:dyDescent="0.25">
      <c r="B717" s="12"/>
    </row>
    <row r="718" spans="2:2" x14ac:dyDescent="0.25">
      <c r="B718" s="12"/>
    </row>
    <row r="719" spans="2:2" x14ac:dyDescent="0.25">
      <c r="B719" s="12"/>
    </row>
    <row r="720" spans="2:2" x14ac:dyDescent="0.25">
      <c r="B720" s="12"/>
    </row>
    <row r="721" spans="2:2" x14ac:dyDescent="0.25">
      <c r="B721" s="12"/>
    </row>
    <row r="722" spans="2:2" x14ac:dyDescent="0.25">
      <c r="B722" s="12"/>
    </row>
    <row r="723" spans="2:2" x14ac:dyDescent="0.25">
      <c r="B723" s="12"/>
    </row>
    <row r="724" spans="2:2" x14ac:dyDescent="0.25">
      <c r="B724" s="12"/>
    </row>
    <row r="725" spans="2:2" x14ac:dyDescent="0.25">
      <c r="B725" s="12"/>
    </row>
    <row r="726" spans="2:2" x14ac:dyDescent="0.25">
      <c r="B726" s="12"/>
    </row>
    <row r="727" spans="2:2" x14ac:dyDescent="0.25">
      <c r="B727" s="12"/>
    </row>
    <row r="728" spans="2:2" x14ac:dyDescent="0.25">
      <c r="B728" s="12"/>
    </row>
    <row r="729" spans="2:2" x14ac:dyDescent="0.25">
      <c r="B729" s="12"/>
    </row>
    <row r="730" spans="2:2" x14ac:dyDescent="0.25">
      <c r="B730" s="12"/>
    </row>
    <row r="731" spans="2:2" x14ac:dyDescent="0.25">
      <c r="B731" s="12"/>
    </row>
    <row r="732" spans="2:2" x14ac:dyDescent="0.25">
      <c r="B732" s="12"/>
    </row>
    <row r="733" spans="2:2" x14ac:dyDescent="0.25">
      <c r="B733" s="12"/>
    </row>
    <row r="734" spans="2:2" x14ac:dyDescent="0.25">
      <c r="B734" s="12"/>
    </row>
    <row r="735" spans="2:2" x14ac:dyDescent="0.25">
      <c r="B735" s="12"/>
    </row>
    <row r="736" spans="2:2" x14ac:dyDescent="0.25">
      <c r="B736" s="12"/>
    </row>
    <row r="737" spans="2:2" x14ac:dyDescent="0.25">
      <c r="B737" s="12"/>
    </row>
    <row r="738" spans="2:2" x14ac:dyDescent="0.25">
      <c r="B738" s="12"/>
    </row>
    <row r="739" spans="2:2" x14ac:dyDescent="0.25">
      <c r="B739" s="12"/>
    </row>
    <row r="740" spans="2:2" x14ac:dyDescent="0.25">
      <c r="B740" s="12"/>
    </row>
    <row r="741" spans="2:2" x14ac:dyDescent="0.25">
      <c r="B741" s="12"/>
    </row>
    <row r="742" spans="2:2" x14ac:dyDescent="0.25">
      <c r="B742" s="12"/>
    </row>
    <row r="743" spans="2:2" x14ac:dyDescent="0.25">
      <c r="B743" s="12"/>
    </row>
    <row r="744" spans="2:2" x14ac:dyDescent="0.25">
      <c r="B744" s="12"/>
    </row>
    <row r="745" spans="2:2" x14ac:dyDescent="0.25">
      <c r="B745" s="12"/>
    </row>
    <row r="746" spans="2:2" x14ac:dyDescent="0.25">
      <c r="B746" s="12"/>
    </row>
    <row r="747" spans="2:2" x14ac:dyDescent="0.25">
      <c r="B747" s="12"/>
    </row>
    <row r="748" spans="2:2" x14ac:dyDescent="0.25">
      <c r="B748" s="12"/>
    </row>
    <row r="749" spans="2:2" x14ac:dyDescent="0.25">
      <c r="B749" s="12"/>
    </row>
    <row r="750" spans="2:2" x14ac:dyDescent="0.25">
      <c r="B750" s="12"/>
    </row>
    <row r="751" spans="2:2" x14ac:dyDescent="0.25">
      <c r="B751" s="12"/>
    </row>
    <row r="752" spans="2:2" x14ac:dyDescent="0.25">
      <c r="B752" s="12"/>
    </row>
    <row r="753" spans="2:2" x14ac:dyDescent="0.25">
      <c r="B753" s="12"/>
    </row>
    <row r="754" spans="2:2" x14ac:dyDescent="0.25">
      <c r="B754" s="12"/>
    </row>
    <row r="755" spans="2:2" x14ac:dyDescent="0.25">
      <c r="B755" s="12"/>
    </row>
    <row r="756" spans="2:2" x14ac:dyDescent="0.25">
      <c r="B756" s="12"/>
    </row>
    <row r="757" spans="2:2" x14ac:dyDescent="0.25">
      <c r="B757" s="12"/>
    </row>
    <row r="758" spans="2:2" x14ac:dyDescent="0.25">
      <c r="B758" s="12"/>
    </row>
    <row r="759" spans="2:2" x14ac:dyDescent="0.25">
      <c r="B759" s="12"/>
    </row>
    <row r="760" spans="2:2" x14ac:dyDescent="0.25">
      <c r="B760" s="12"/>
    </row>
    <row r="761" spans="2:2" x14ac:dyDescent="0.25">
      <c r="B761" s="12"/>
    </row>
    <row r="762" spans="2:2" x14ac:dyDescent="0.25">
      <c r="B762" s="12"/>
    </row>
    <row r="763" spans="2:2" x14ac:dyDescent="0.25">
      <c r="B763" s="12"/>
    </row>
    <row r="764" spans="2:2" x14ac:dyDescent="0.25">
      <c r="B764" s="12"/>
    </row>
    <row r="765" spans="2:2" x14ac:dyDescent="0.25">
      <c r="B765" s="12"/>
    </row>
    <row r="766" spans="2:2" x14ac:dyDescent="0.25">
      <c r="B766" s="12"/>
    </row>
    <row r="767" spans="2:2" x14ac:dyDescent="0.25">
      <c r="B767" s="12"/>
    </row>
    <row r="768" spans="2:2" x14ac:dyDescent="0.25">
      <c r="B768" s="12"/>
    </row>
    <row r="769" spans="2:2" x14ac:dyDescent="0.25">
      <c r="B769" s="12"/>
    </row>
    <row r="770" spans="2:2" x14ac:dyDescent="0.25">
      <c r="B770" s="12"/>
    </row>
    <row r="771" spans="2:2" x14ac:dyDescent="0.25">
      <c r="B771" s="12"/>
    </row>
    <row r="772" spans="2:2" x14ac:dyDescent="0.25">
      <c r="B772" s="12"/>
    </row>
    <row r="773" spans="2:2" x14ac:dyDescent="0.25">
      <c r="B773" s="12"/>
    </row>
    <row r="774" spans="2:2" x14ac:dyDescent="0.25">
      <c r="B774" s="12"/>
    </row>
    <row r="775" spans="2:2" x14ac:dyDescent="0.25">
      <c r="B775" s="12"/>
    </row>
    <row r="776" spans="2:2" x14ac:dyDescent="0.25">
      <c r="B776" s="12"/>
    </row>
    <row r="777" spans="2:2" x14ac:dyDescent="0.25">
      <c r="B777" s="12"/>
    </row>
    <row r="778" spans="2:2" x14ac:dyDescent="0.25">
      <c r="B778" s="12"/>
    </row>
    <row r="779" spans="2:2" x14ac:dyDescent="0.25">
      <c r="B779" s="12"/>
    </row>
    <row r="780" spans="2:2" x14ac:dyDescent="0.25">
      <c r="B780" s="12"/>
    </row>
    <row r="781" spans="2:2" x14ac:dyDescent="0.25">
      <c r="B781" s="12"/>
    </row>
    <row r="782" spans="2:2" x14ac:dyDescent="0.25">
      <c r="B782" s="12"/>
    </row>
    <row r="783" spans="2:2" x14ac:dyDescent="0.25">
      <c r="B783" s="12"/>
    </row>
    <row r="784" spans="2:2" x14ac:dyDescent="0.25">
      <c r="B784" s="12"/>
    </row>
    <row r="785" spans="2:2" x14ac:dyDescent="0.25">
      <c r="B785" s="12"/>
    </row>
    <row r="786" spans="2:2" x14ac:dyDescent="0.25">
      <c r="B786" s="12"/>
    </row>
    <row r="787" spans="2:2" x14ac:dyDescent="0.25">
      <c r="B787" s="12"/>
    </row>
    <row r="788" spans="2:2" x14ac:dyDescent="0.25">
      <c r="B788" s="12"/>
    </row>
    <row r="789" spans="2:2" x14ac:dyDescent="0.25">
      <c r="B789" s="12"/>
    </row>
    <row r="790" spans="2:2" x14ac:dyDescent="0.25">
      <c r="B790" s="12"/>
    </row>
    <row r="791" spans="2:2" x14ac:dyDescent="0.25">
      <c r="B791" s="12"/>
    </row>
    <row r="792" spans="2:2" x14ac:dyDescent="0.25">
      <c r="B792" s="12"/>
    </row>
    <row r="793" spans="2:2" x14ac:dyDescent="0.25">
      <c r="B793" s="12"/>
    </row>
    <row r="794" spans="2:2" x14ac:dyDescent="0.25">
      <c r="B794" s="12"/>
    </row>
    <row r="795" spans="2:2" x14ac:dyDescent="0.25">
      <c r="B795" s="12"/>
    </row>
    <row r="796" spans="2:2" x14ac:dyDescent="0.25">
      <c r="B796" s="12"/>
    </row>
    <row r="797" spans="2:2" x14ac:dyDescent="0.25">
      <c r="B797" s="12"/>
    </row>
    <row r="798" spans="2:2" x14ac:dyDescent="0.25">
      <c r="B798" s="12"/>
    </row>
    <row r="799" spans="2:2" x14ac:dyDescent="0.25">
      <c r="B799" s="12"/>
    </row>
    <row r="800" spans="2:2" x14ac:dyDescent="0.25">
      <c r="B800" s="12"/>
    </row>
    <row r="801" spans="2:2" x14ac:dyDescent="0.25">
      <c r="B801" s="12"/>
    </row>
    <row r="802" spans="2:2" x14ac:dyDescent="0.25">
      <c r="B802" s="12"/>
    </row>
    <row r="803" spans="2:2" x14ac:dyDescent="0.25">
      <c r="B803" s="12"/>
    </row>
    <row r="804" spans="2:2" x14ac:dyDescent="0.25">
      <c r="B804" s="12"/>
    </row>
    <row r="805" spans="2:2" x14ac:dyDescent="0.25">
      <c r="B805" s="12"/>
    </row>
    <row r="806" spans="2:2" x14ac:dyDescent="0.25">
      <c r="B806" s="12"/>
    </row>
    <row r="807" spans="2:2" x14ac:dyDescent="0.25">
      <c r="B807" s="12"/>
    </row>
    <row r="808" spans="2:2" x14ac:dyDescent="0.25">
      <c r="B808" s="12"/>
    </row>
    <row r="809" spans="2:2" x14ac:dyDescent="0.25">
      <c r="B809" s="12"/>
    </row>
    <row r="810" spans="2:2" x14ac:dyDescent="0.25">
      <c r="B810" s="12"/>
    </row>
    <row r="811" spans="2:2" x14ac:dyDescent="0.25">
      <c r="B811" s="12"/>
    </row>
    <row r="812" spans="2:2" x14ac:dyDescent="0.25">
      <c r="B812" s="12"/>
    </row>
    <row r="813" spans="2:2" x14ac:dyDescent="0.25">
      <c r="B813" s="12"/>
    </row>
    <row r="814" spans="2:2" x14ac:dyDescent="0.25">
      <c r="B814" s="12"/>
    </row>
    <row r="815" spans="2:2" x14ac:dyDescent="0.25">
      <c r="B815" s="12"/>
    </row>
    <row r="816" spans="2:2" x14ac:dyDescent="0.25">
      <c r="B816" s="12"/>
    </row>
    <row r="817" spans="2:2" x14ac:dyDescent="0.25">
      <c r="B817" s="12"/>
    </row>
    <row r="818" spans="2:2" x14ac:dyDescent="0.25">
      <c r="B818" s="12"/>
    </row>
    <row r="819" spans="2:2" x14ac:dyDescent="0.25">
      <c r="B819" s="12"/>
    </row>
    <row r="820" spans="2:2" x14ac:dyDescent="0.25">
      <c r="B820" s="12"/>
    </row>
    <row r="821" spans="2:2" x14ac:dyDescent="0.25">
      <c r="B821" s="12"/>
    </row>
    <row r="822" spans="2:2" x14ac:dyDescent="0.25">
      <c r="B822" s="12"/>
    </row>
    <row r="823" spans="2:2" x14ac:dyDescent="0.25">
      <c r="B823" s="12"/>
    </row>
    <row r="824" spans="2:2" x14ac:dyDescent="0.25">
      <c r="B824" s="12"/>
    </row>
    <row r="825" spans="2:2" x14ac:dyDescent="0.25">
      <c r="B825" s="12"/>
    </row>
    <row r="826" spans="2:2" x14ac:dyDescent="0.25">
      <c r="B826" s="12"/>
    </row>
    <row r="827" spans="2:2" x14ac:dyDescent="0.25">
      <c r="B827" s="12"/>
    </row>
    <row r="828" spans="2:2" x14ac:dyDescent="0.25">
      <c r="B828" s="12"/>
    </row>
    <row r="829" spans="2:2" x14ac:dyDescent="0.25">
      <c r="B829" s="12"/>
    </row>
    <row r="830" spans="2:2" x14ac:dyDescent="0.25">
      <c r="B830" s="12"/>
    </row>
    <row r="831" spans="2:2" x14ac:dyDescent="0.25">
      <c r="B831" s="12"/>
    </row>
    <row r="832" spans="2:2" x14ac:dyDescent="0.25">
      <c r="B832" s="12"/>
    </row>
    <row r="833" spans="2:2" x14ac:dyDescent="0.25">
      <c r="B833" s="12"/>
    </row>
    <row r="834" spans="2:2" x14ac:dyDescent="0.25">
      <c r="B834" s="12"/>
    </row>
    <row r="835" spans="2:2" x14ac:dyDescent="0.25">
      <c r="B835" s="12"/>
    </row>
    <row r="836" spans="2:2" x14ac:dyDescent="0.25">
      <c r="B836" s="12"/>
    </row>
    <row r="837" spans="2:2" x14ac:dyDescent="0.25">
      <c r="B837" s="12"/>
    </row>
    <row r="838" spans="2:2" x14ac:dyDescent="0.25">
      <c r="B838" s="12"/>
    </row>
    <row r="839" spans="2:2" x14ac:dyDescent="0.25">
      <c r="B839" s="12"/>
    </row>
    <row r="840" spans="2:2" x14ac:dyDescent="0.25">
      <c r="B840" s="12"/>
    </row>
    <row r="841" spans="2:2" x14ac:dyDescent="0.25">
      <c r="B841" s="12"/>
    </row>
    <row r="842" spans="2:2" x14ac:dyDescent="0.25">
      <c r="B842" s="12"/>
    </row>
    <row r="843" spans="2:2" x14ac:dyDescent="0.25">
      <c r="B843" s="12"/>
    </row>
    <row r="844" spans="2:2" x14ac:dyDescent="0.25">
      <c r="B844" s="12"/>
    </row>
    <row r="845" spans="2:2" x14ac:dyDescent="0.25">
      <c r="B845" s="12"/>
    </row>
    <row r="846" spans="2:2" x14ac:dyDescent="0.25">
      <c r="B846" s="12"/>
    </row>
    <row r="847" spans="2:2" x14ac:dyDescent="0.25">
      <c r="B847" s="12"/>
    </row>
    <row r="848" spans="2:2" x14ac:dyDescent="0.25">
      <c r="B848" s="12"/>
    </row>
    <row r="849" spans="2:2" x14ac:dyDescent="0.25">
      <c r="B849" s="12"/>
    </row>
    <row r="850" spans="2:2" x14ac:dyDescent="0.25">
      <c r="B850" s="12"/>
    </row>
    <row r="851" spans="2:2" x14ac:dyDescent="0.25">
      <c r="B851" s="12"/>
    </row>
    <row r="852" spans="2:2" x14ac:dyDescent="0.25">
      <c r="B852" s="12"/>
    </row>
    <row r="853" spans="2:2" x14ac:dyDescent="0.25">
      <c r="B853" s="12"/>
    </row>
    <row r="854" spans="2:2" x14ac:dyDescent="0.25">
      <c r="B854" s="12"/>
    </row>
    <row r="855" spans="2:2" x14ac:dyDescent="0.25">
      <c r="B855" s="12"/>
    </row>
    <row r="856" spans="2:2" x14ac:dyDescent="0.25">
      <c r="B856" s="12"/>
    </row>
    <row r="857" spans="2:2" x14ac:dyDescent="0.25">
      <c r="B857" s="12"/>
    </row>
    <row r="858" spans="2:2" x14ac:dyDescent="0.25">
      <c r="B858" s="12"/>
    </row>
    <row r="859" spans="2:2" x14ac:dyDescent="0.25">
      <c r="B859" s="12"/>
    </row>
    <row r="860" spans="2:2" x14ac:dyDescent="0.25">
      <c r="B860" s="12"/>
    </row>
    <row r="861" spans="2:2" x14ac:dyDescent="0.25">
      <c r="B861" s="12"/>
    </row>
    <row r="862" spans="2:2" x14ac:dyDescent="0.25">
      <c r="B862" s="12"/>
    </row>
    <row r="863" spans="2:2" x14ac:dyDescent="0.25">
      <c r="B863" s="12"/>
    </row>
    <row r="864" spans="2:2" x14ac:dyDescent="0.25">
      <c r="B864" s="12"/>
    </row>
    <row r="865" spans="2:2" x14ac:dyDescent="0.25">
      <c r="B865" s="12"/>
    </row>
    <row r="866" spans="2:2" x14ac:dyDescent="0.25">
      <c r="B866" s="12"/>
    </row>
    <row r="867" spans="2:2" x14ac:dyDescent="0.25">
      <c r="B867" s="12"/>
    </row>
    <row r="868" spans="2:2" x14ac:dyDescent="0.25">
      <c r="B868" s="12"/>
    </row>
    <row r="869" spans="2:2" x14ac:dyDescent="0.25">
      <c r="B869" s="12"/>
    </row>
    <row r="870" spans="2:2" x14ac:dyDescent="0.25">
      <c r="B870" s="12"/>
    </row>
    <row r="871" spans="2:2" x14ac:dyDescent="0.25">
      <c r="B871" s="12"/>
    </row>
    <row r="872" spans="2:2" x14ac:dyDescent="0.25">
      <c r="B872" s="12"/>
    </row>
    <row r="873" spans="2:2" x14ac:dyDescent="0.25">
      <c r="B873" s="12"/>
    </row>
    <row r="874" spans="2:2" x14ac:dyDescent="0.25">
      <c r="B874" s="12"/>
    </row>
    <row r="875" spans="2:2" x14ac:dyDescent="0.25">
      <c r="B875" s="12"/>
    </row>
    <row r="876" spans="2:2" x14ac:dyDescent="0.25">
      <c r="B876" s="12"/>
    </row>
    <row r="877" spans="2:2" x14ac:dyDescent="0.25">
      <c r="B877" s="12"/>
    </row>
    <row r="878" spans="2:2" x14ac:dyDescent="0.25">
      <c r="B878" s="12"/>
    </row>
    <row r="879" spans="2:2" x14ac:dyDescent="0.25">
      <c r="B879" s="12"/>
    </row>
    <row r="880" spans="2:2" x14ac:dyDescent="0.25">
      <c r="B880" s="12"/>
    </row>
    <row r="881" spans="2:2" x14ac:dyDescent="0.25">
      <c r="B881" s="12"/>
    </row>
    <row r="882" spans="2:2" x14ac:dyDescent="0.25">
      <c r="B882" s="12"/>
    </row>
    <row r="883" spans="2:2" x14ac:dyDescent="0.25">
      <c r="B883" s="12"/>
    </row>
    <row r="884" spans="2:2" x14ac:dyDescent="0.25">
      <c r="B884" s="12"/>
    </row>
    <row r="885" spans="2:2" x14ac:dyDescent="0.25">
      <c r="B885" s="12"/>
    </row>
    <row r="886" spans="2:2" x14ac:dyDescent="0.25">
      <c r="B886" s="12"/>
    </row>
    <row r="887" spans="2:2" x14ac:dyDescent="0.25">
      <c r="B887" s="12"/>
    </row>
    <row r="888" spans="2:2" x14ac:dyDescent="0.25">
      <c r="B888" s="12"/>
    </row>
    <row r="889" spans="2:2" x14ac:dyDescent="0.25">
      <c r="B889" s="12"/>
    </row>
    <row r="890" spans="2:2" x14ac:dyDescent="0.25">
      <c r="B890" s="12"/>
    </row>
    <row r="891" spans="2:2" x14ac:dyDescent="0.25">
      <c r="B891" s="12"/>
    </row>
    <row r="892" spans="2:2" x14ac:dyDescent="0.25">
      <c r="B892" s="12"/>
    </row>
    <row r="893" spans="2:2" x14ac:dyDescent="0.25">
      <c r="B893" s="12"/>
    </row>
    <row r="894" spans="2:2" x14ac:dyDescent="0.25">
      <c r="B894" s="12"/>
    </row>
    <row r="895" spans="2:2" x14ac:dyDescent="0.25">
      <c r="B895" s="12"/>
    </row>
    <row r="896" spans="2:2" x14ac:dyDescent="0.25">
      <c r="B896" s="12"/>
    </row>
    <row r="897" spans="2:2" x14ac:dyDescent="0.25">
      <c r="B897" s="12"/>
    </row>
    <row r="898" spans="2:2" x14ac:dyDescent="0.25">
      <c r="B898" s="12"/>
    </row>
    <row r="899" spans="2:2" x14ac:dyDescent="0.25">
      <c r="B899" s="12"/>
    </row>
    <row r="900" spans="2:2" x14ac:dyDescent="0.25">
      <c r="B900" s="12"/>
    </row>
    <row r="901" spans="2:2" x14ac:dyDescent="0.25">
      <c r="B901" s="12"/>
    </row>
    <row r="902" spans="2:2" x14ac:dyDescent="0.25">
      <c r="B902" s="12"/>
    </row>
    <row r="903" spans="2:2" x14ac:dyDescent="0.25">
      <c r="B903" s="12"/>
    </row>
    <row r="904" spans="2:2" x14ac:dyDescent="0.25">
      <c r="B904" s="12"/>
    </row>
    <row r="905" spans="2:2" x14ac:dyDescent="0.25">
      <c r="B905" s="12"/>
    </row>
    <row r="906" spans="2:2" x14ac:dyDescent="0.25">
      <c r="B906" s="12"/>
    </row>
    <row r="907" spans="2:2" x14ac:dyDescent="0.25">
      <c r="B907" s="12"/>
    </row>
    <row r="908" spans="2:2" x14ac:dyDescent="0.25">
      <c r="B908" s="12"/>
    </row>
    <row r="909" spans="2:2" x14ac:dyDescent="0.25">
      <c r="B909" s="12"/>
    </row>
    <row r="910" spans="2:2" x14ac:dyDescent="0.25">
      <c r="B910" s="12"/>
    </row>
    <row r="911" spans="2:2" x14ac:dyDescent="0.25">
      <c r="B911" s="12"/>
    </row>
    <row r="912" spans="2:2" x14ac:dyDescent="0.25">
      <c r="B912" s="12"/>
    </row>
    <row r="913" spans="2:2" x14ac:dyDescent="0.25">
      <c r="B913" s="12"/>
    </row>
    <row r="914" spans="2:2" x14ac:dyDescent="0.25">
      <c r="B914" s="12"/>
    </row>
    <row r="915" spans="2:2" x14ac:dyDescent="0.25">
      <c r="B915" s="12"/>
    </row>
    <row r="916" spans="2:2" x14ac:dyDescent="0.25">
      <c r="B916" s="12"/>
    </row>
    <row r="917" spans="2:2" x14ac:dyDescent="0.25">
      <c r="B917" s="12"/>
    </row>
    <row r="918" spans="2:2" x14ac:dyDescent="0.25">
      <c r="B918" s="12"/>
    </row>
    <row r="919" spans="2:2" x14ac:dyDescent="0.25">
      <c r="B919" s="12"/>
    </row>
    <row r="920" spans="2:2" x14ac:dyDescent="0.25">
      <c r="B920" s="12"/>
    </row>
    <row r="921" spans="2:2" x14ac:dyDescent="0.25">
      <c r="B921" s="12"/>
    </row>
    <row r="922" spans="2:2" x14ac:dyDescent="0.25">
      <c r="B922" s="12"/>
    </row>
    <row r="923" spans="2:2" x14ac:dyDescent="0.25">
      <c r="B923" s="12"/>
    </row>
    <row r="924" spans="2:2" x14ac:dyDescent="0.25">
      <c r="B924" s="12"/>
    </row>
    <row r="925" spans="2:2" x14ac:dyDescent="0.25">
      <c r="B925" s="12"/>
    </row>
    <row r="926" spans="2:2" x14ac:dyDescent="0.25">
      <c r="B926" s="12"/>
    </row>
    <row r="927" spans="2:2" x14ac:dyDescent="0.25">
      <c r="B927" s="12"/>
    </row>
    <row r="928" spans="2:2" x14ac:dyDescent="0.25">
      <c r="B928" s="12"/>
    </row>
    <row r="929" spans="2:2" x14ac:dyDescent="0.25">
      <c r="B929" s="12"/>
    </row>
    <row r="930" spans="2:2" x14ac:dyDescent="0.25">
      <c r="B930" s="12"/>
    </row>
    <row r="931" spans="2:2" x14ac:dyDescent="0.25">
      <c r="B931" s="12"/>
    </row>
    <row r="932" spans="2:2" x14ac:dyDescent="0.25">
      <c r="B932" s="12"/>
    </row>
    <row r="933" spans="2:2" x14ac:dyDescent="0.25">
      <c r="B933" s="12"/>
    </row>
    <row r="934" spans="2:2" x14ac:dyDescent="0.25">
      <c r="B934" s="12"/>
    </row>
    <row r="935" spans="2:2" x14ac:dyDescent="0.25">
      <c r="B935" s="12"/>
    </row>
    <row r="936" spans="2:2" x14ac:dyDescent="0.25">
      <c r="B936" s="12"/>
    </row>
    <row r="937" spans="2:2" x14ac:dyDescent="0.25">
      <c r="B937" s="12"/>
    </row>
    <row r="938" spans="2:2" x14ac:dyDescent="0.25">
      <c r="B938" s="12"/>
    </row>
    <row r="939" spans="2:2" x14ac:dyDescent="0.25">
      <c r="B939" s="12"/>
    </row>
    <row r="940" spans="2:2" x14ac:dyDescent="0.25">
      <c r="B940" s="12"/>
    </row>
    <row r="941" spans="2:2" x14ac:dyDescent="0.25">
      <c r="B941" s="12"/>
    </row>
    <row r="942" spans="2:2" x14ac:dyDescent="0.25">
      <c r="B942" s="12"/>
    </row>
    <row r="943" spans="2:2" x14ac:dyDescent="0.25">
      <c r="B943" s="12"/>
    </row>
    <row r="944" spans="2:2" x14ac:dyDescent="0.25">
      <c r="B944" s="12"/>
    </row>
    <row r="945" spans="2:2" x14ac:dyDescent="0.25">
      <c r="B945" s="12"/>
    </row>
    <row r="946" spans="2:2" x14ac:dyDescent="0.25">
      <c r="B946" s="12"/>
    </row>
    <row r="947" spans="2:2" x14ac:dyDescent="0.25">
      <c r="B947" s="12"/>
    </row>
    <row r="948" spans="2:2" x14ac:dyDescent="0.25">
      <c r="B948" s="12"/>
    </row>
    <row r="949" spans="2:2" x14ac:dyDescent="0.25">
      <c r="B949" s="12"/>
    </row>
    <row r="950" spans="2:2" x14ac:dyDescent="0.25">
      <c r="B950" s="12"/>
    </row>
    <row r="951" spans="2:2" x14ac:dyDescent="0.25">
      <c r="B951" s="12"/>
    </row>
    <row r="952" spans="2:2" x14ac:dyDescent="0.25">
      <c r="B952" s="12"/>
    </row>
    <row r="953" spans="2:2" x14ac:dyDescent="0.25">
      <c r="B953" s="12"/>
    </row>
    <row r="954" spans="2:2" x14ac:dyDescent="0.25">
      <c r="B954" s="12"/>
    </row>
    <row r="955" spans="2:2" x14ac:dyDescent="0.25">
      <c r="B955" s="12"/>
    </row>
    <row r="956" spans="2:2" x14ac:dyDescent="0.25">
      <c r="B956" s="12"/>
    </row>
    <row r="957" spans="2:2" x14ac:dyDescent="0.25">
      <c r="B957" s="12"/>
    </row>
    <row r="958" spans="2:2" x14ac:dyDescent="0.25">
      <c r="B958" s="12"/>
    </row>
    <row r="959" spans="2:2" x14ac:dyDescent="0.25">
      <c r="B959" s="12"/>
    </row>
    <row r="960" spans="2:2" x14ac:dyDescent="0.25">
      <c r="B960" s="12"/>
    </row>
    <row r="961" spans="2:2" x14ac:dyDescent="0.25">
      <c r="B961" s="12"/>
    </row>
    <row r="962" spans="2:2" x14ac:dyDescent="0.25">
      <c r="B962" s="12"/>
    </row>
    <row r="963" spans="2:2" x14ac:dyDescent="0.25">
      <c r="B963" s="12"/>
    </row>
    <row r="964" spans="2:2" x14ac:dyDescent="0.25">
      <c r="B964" s="12"/>
    </row>
    <row r="965" spans="2:2" x14ac:dyDescent="0.25">
      <c r="B965" s="12"/>
    </row>
    <row r="966" spans="2:2" x14ac:dyDescent="0.25">
      <c r="B966" s="12"/>
    </row>
    <row r="967" spans="2:2" x14ac:dyDescent="0.25">
      <c r="B967" s="12"/>
    </row>
    <row r="968" spans="2:2" x14ac:dyDescent="0.25">
      <c r="B968" s="12"/>
    </row>
    <row r="969" spans="2:2" x14ac:dyDescent="0.25">
      <c r="B969" s="12"/>
    </row>
    <row r="970" spans="2:2" x14ac:dyDescent="0.25">
      <c r="B970" s="12"/>
    </row>
    <row r="971" spans="2:2" x14ac:dyDescent="0.25">
      <c r="B971" s="12"/>
    </row>
    <row r="972" spans="2:2" x14ac:dyDescent="0.25">
      <c r="B972" s="12"/>
    </row>
    <row r="973" spans="2:2" x14ac:dyDescent="0.25">
      <c r="B973" s="12"/>
    </row>
    <row r="974" spans="2:2" x14ac:dyDescent="0.25">
      <c r="B974" s="12"/>
    </row>
    <row r="975" spans="2:2" x14ac:dyDescent="0.25">
      <c r="B975" s="12"/>
    </row>
    <row r="976" spans="2:2" x14ac:dyDescent="0.25">
      <c r="B976" s="12"/>
    </row>
    <row r="977" spans="2:2" x14ac:dyDescent="0.25">
      <c r="B977" s="12"/>
    </row>
    <row r="978" spans="2:2" x14ac:dyDescent="0.25">
      <c r="B978" s="12"/>
    </row>
    <row r="979" spans="2:2" x14ac:dyDescent="0.25">
      <c r="B979" s="12"/>
    </row>
    <row r="980" spans="2:2" x14ac:dyDescent="0.25">
      <c r="B980" s="12"/>
    </row>
    <row r="981" spans="2:2" x14ac:dyDescent="0.25">
      <c r="B981" s="12"/>
    </row>
    <row r="982" spans="2:2" x14ac:dyDescent="0.25">
      <c r="B982" s="12"/>
    </row>
    <row r="983" spans="2:2" x14ac:dyDescent="0.25">
      <c r="B983" s="12"/>
    </row>
    <row r="984" spans="2:2" x14ac:dyDescent="0.25">
      <c r="B984" s="12"/>
    </row>
    <row r="985" spans="2:2" x14ac:dyDescent="0.25">
      <c r="B985" s="12"/>
    </row>
    <row r="986" spans="2:2" x14ac:dyDescent="0.25">
      <c r="B986" s="12"/>
    </row>
    <row r="987" spans="2:2" x14ac:dyDescent="0.25">
      <c r="B987" s="12"/>
    </row>
    <row r="988" spans="2:2" x14ac:dyDescent="0.25">
      <c r="B988" s="12"/>
    </row>
    <row r="989" spans="2:2" x14ac:dyDescent="0.25">
      <c r="B989" s="12"/>
    </row>
    <row r="990" spans="2:2" x14ac:dyDescent="0.25">
      <c r="B990" s="12"/>
    </row>
    <row r="991" spans="2:2" x14ac:dyDescent="0.25">
      <c r="B991" s="12"/>
    </row>
    <row r="992" spans="2:2" x14ac:dyDescent="0.25">
      <c r="B992" s="12"/>
    </row>
    <row r="993" spans="2:2" x14ac:dyDescent="0.25">
      <c r="B993" s="12"/>
    </row>
    <row r="994" spans="2:2" x14ac:dyDescent="0.25">
      <c r="B994" s="12"/>
    </row>
    <row r="995" spans="2:2" x14ac:dyDescent="0.25">
      <c r="B995" s="12"/>
    </row>
    <row r="996" spans="2:2" x14ac:dyDescent="0.25">
      <c r="B996" s="12"/>
    </row>
    <row r="997" spans="2:2" x14ac:dyDescent="0.25">
      <c r="B997" s="12"/>
    </row>
    <row r="998" spans="2:2" x14ac:dyDescent="0.25">
      <c r="B998" s="12"/>
    </row>
    <row r="999" spans="2:2" x14ac:dyDescent="0.25">
      <c r="B999" s="12"/>
    </row>
    <row r="1000" spans="2:2" x14ac:dyDescent="0.25">
      <c r="B1000" s="12"/>
    </row>
    <row r="1001" spans="2:2" x14ac:dyDescent="0.25">
      <c r="B1001" s="12"/>
    </row>
    <row r="1002" spans="2:2" x14ac:dyDescent="0.25">
      <c r="B1002" s="12"/>
    </row>
    <row r="1003" spans="2:2" x14ac:dyDescent="0.25">
      <c r="B1003" s="12"/>
    </row>
    <row r="1004" spans="2:2" x14ac:dyDescent="0.25">
      <c r="B1004" s="12"/>
    </row>
    <row r="1005" spans="2:2" x14ac:dyDescent="0.25">
      <c r="B1005" s="12"/>
    </row>
    <row r="1006" spans="2:2" x14ac:dyDescent="0.25">
      <c r="B1006" s="12"/>
    </row>
    <row r="1007" spans="2:2" x14ac:dyDescent="0.25">
      <c r="B1007" s="12"/>
    </row>
    <row r="1008" spans="2:2" x14ac:dyDescent="0.25">
      <c r="B1008" s="12"/>
    </row>
    <row r="1009" spans="2:2" x14ac:dyDescent="0.25">
      <c r="B1009" s="12"/>
    </row>
    <row r="1010" spans="2:2" x14ac:dyDescent="0.25">
      <c r="B1010" s="12"/>
    </row>
    <row r="1011" spans="2:2" x14ac:dyDescent="0.25">
      <c r="B1011" s="12"/>
    </row>
    <row r="1012" spans="2:2" x14ac:dyDescent="0.25">
      <c r="B1012" s="12"/>
    </row>
    <row r="1013" spans="2:2" x14ac:dyDescent="0.25">
      <c r="B1013" s="12"/>
    </row>
    <row r="1014" spans="2:2" x14ac:dyDescent="0.25">
      <c r="B1014" s="12"/>
    </row>
    <row r="1015" spans="2:2" x14ac:dyDescent="0.25">
      <c r="B1015" s="12"/>
    </row>
    <row r="1016" spans="2:2" x14ac:dyDescent="0.25">
      <c r="B1016" s="12"/>
    </row>
    <row r="1017" spans="2:2" x14ac:dyDescent="0.25">
      <c r="B1017" s="12"/>
    </row>
    <row r="1018" spans="2:2" x14ac:dyDescent="0.25">
      <c r="B1018" s="12"/>
    </row>
    <row r="1019" spans="2:2" x14ac:dyDescent="0.25">
      <c r="B1019" s="12"/>
    </row>
    <row r="1020" spans="2:2" x14ac:dyDescent="0.25">
      <c r="B1020" s="12"/>
    </row>
    <row r="1021" spans="2:2" x14ac:dyDescent="0.25">
      <c r="B1021" s="12"/>
    </row>
    <row r="1022" spans="2:2" x14ac:dyDescent="0.25">
      <c r="B1022" s="12"/>
    </row>
    <row r="1023" spans="2:2" x14ac:dyDescent="0.25">
      <c r="B1023" s="12"/>
    </row>
    <row r="1024" spans="2:2" x14ac:dyDescent="0.25">
      <c r="B1024" s="12"/>
    </row>
    <row r="1025" spans="2:2" x14ac:dyDescent="0.25">
      <c r="B1025" s="12"/>
    </row>
    <row r="1026" spans="2:2" x14ac:dyDescent="0.25">
      <c r="B1026" s="12"/>
    </row>
    <row r="1027" spans="2:2" x14ac:dyDescent="0.25">
      <c r="B1027" s="12"/>
    </row>
    <row r="1028" spans="2:2" x14ac:dyDescent="0.25">
      <c r="B1028" s="12"/>
    </row>
    <row r="1029" spans="2:2" x14ac:dyDescent="0.25">
      <c r="B1029" s="12"/>
    </row>
    <row r="1030" spans="2:2" x14ac:dyDescent="0.25">
      <c r="B1030" s="12"/>
    </row>
    <row r="1031" spans="2:2" x14ac:dyDescent="0.25">
      <c r="B1031" s="12"/>
    </row>
    <row r="1032" spans="2:2" x14ac:dyDescent="0.25">
      <c r="B1032" s="12"/>
    </row>
    <row r="1033" spans="2:2" x14ac:dyDescent="0.25">
      <c r="B1033" s="12"/>
    </row>
    <row r="1034" spans="2:2" x14ac:dyDescent="0.25">
      <c r="B1034" s="12"/>
    </row>
    <row r="1035" spans="2:2" x14ac:dyDescent="0.25">
      <c r="B1035" s="12"/>
    </row>
    <row r="1036" spans="2:2" x14ac:dyDescent="0.25">
      <c r="B1036" s="12"/>
    </row>
    <row r="1037" spans="2:2" x14ac:dyDescent="0.25">
      <c r="B1037" s="12"/>
    </row>
    <row r="1038" spans="2:2" x14ac:dyDescent="0.25">
      <c r="B1038" s="12"/>
    </row>
    <row r="1039" spans="2:2" x14ac:dyDescent="0.25">
      <c r="B1039" s="12"/>
    </row>
    <row r="1040" spans="2:2" x14ac:dyDescent="0.25">
      <c r="B1040" s="12"/>
    </row>
    <row r="1041" spans="2:2" x14ac:dyDescent="0.25">
      <c r="B1041" s="12"/>
    </row>
    <row r="1042" spans="2:2" x14ac:dyDescent="0.25">
      <c r="B1042" s="12"/>
    </row>
    <row r="1043" spans="2:2" x14ac:dyDescent="0.25">
      <c r="B1043" s="12"/>
    </row>
    <row r="1044" spans="2:2" x14ac:dyDescent="0.25">
      <c r="B1044" s="12"/>
    </row>
    <row r="1045" spans="2:2" x14ac:dyDescent="0.25">
      <c r="B1045" s="12"/>
    </row>
    <row r="1046" spans="2:2" x14ac:dyDescent="0.25">
      <c r="B1046" s="12"/>
    </row>
    <row r="1047" spans="2:2" x14ac:dyDescent="0.25">
      <c r="B1047" s="12"/>
    </row>
    <row r="1048" spans="2:2" x14ac:dyDescent="0.25">
      <c r="B1048" s="12"/>
    </row>
    <row r="1049" spans="2:2" x14ac:dyDescent="0.25">
      <c r="B1049" s="12"/>
    </row>
    <row r="1050" spans="2:2" x14ac:dyDescent="0.25">
      <c r="B1050" s="12"/>
    </row>
    <row r="1051" spans="2:2" x14ac:dyDescent="0.25">
      <c r="B1051" s="12"/>
    </row>
    <row r="1052" spans="2:2" x14ac:dyDescent="0.25">
      <c r="B1052" s="12"/>
    </row>
    <row r="1053" spans="2:2" x14ac:dyDescent="0.25">
      <c r="B1053" s="12"/>
    </row>
    <row r="1054" spans="2:2" x14ac:dyDescent="0.25">
      <c r="B1054" s="12"/>
    </row>
    <row r="1055" spans="2:2" x14ac:dyDescent="0.25">
      <c r="B1055" s="12"/>
    </row>
    <row r="1056" spans="2:2" x14ac:dyDescent="0.25">
      <c r="B1056" s="12"/>
    </row>
    <row r="1057" spans="2:2" x14ac:dyDescent="0.25">
      <c r="B1057" s="12"/>
    </row>
    <row r="1058" spans="2:2" x14ac:dyDescent="0.25">
      <c r="B1058" s="12"/>
    </row>
    <row r="1059" spans="2:2" x14ac:dyDescent="0.25">
      <c r="B1059" s="12"/>
    </row>
    <row r="1060" spans="2:2" x14ac:dyDescent="0.25">
      <c r="B1060" s="12"/>
    </row>
    <row r="1061" spans="2:2" x14ac:dyDescent="0.25">
      <c r="B1061" s="12"/>
    </row>
    <row r="1062" spans="2:2" x14ac:dyDescent="0.25">
      <c r="B1062" s="12"/>
    </row>
    <row r="1063" spans="2:2" x14ac:dyDescent="0.25">
      <c r="B1063" s="12"/>
    </row>
    <row r="1064" spans="2:2" x14ac:dyDescent="0.25">
      <c r="B1064" s="12"/>
    </row>
    <row r="1065" spans="2:2" x14ac:dyDescent="0.25">
      <c r="B1065" s="12"/>
    </row>
    <row r="1066" spans="2:2" x14ac:dyDescent="0.25">
      <c r="B1066" s="12"/>
    </row>
    <row r="1067" spans="2:2" x14ac:dyDescent="0.25">
      <c r="B1067" s="12"/>
    </row>
    <row r="1068" spans="2:2" x14ac:dyDescent="0.25">
      <c r="B1068" s="12"/>
    </row>
    <row r="1069" spans="2:2" x14ac:dyDescent="0.25">
      <c r="B1069" s="12"/>
    </row>
    <row r="1070" spans="2:2" x14ac:dyDescent="0.25">
      <c r="B1070" s="12"/>
    </row>
    <row r="1071" spans="2:2" x14ac:dyDescent="0.25">
      <c r="B1071" s="12"/>
    </row>
    <row r="1072" spans="2:2" x14ac:dyDescent="0.25">
      <c r="B1072" s="12"/>
    </row>
    <row r="1073" spans="2:2" x14ac:dyDescent="0.25">
      <c r="B1073" s="12"/>
    </row>
    <row r="1074" spans="2:2" x14ac:dyDescent="0.25">
      <c r="B1074" s="12"/>
    </row>
    <row r="1075" spans="2:2" x14ac:dyDescent="0.25">
      <c r="B1075" s="12"/>
    </row>
    <row r="1076" spans="2:2" x14ac:dyDescent="0.25">
      <c r="B1076" s="12"/>
    </row>
    <row r="1077" spans="2:2" x14ac:dyDescent="0.25">
      <c r="B1077" s="12"/>
    </row>
    <row r="1078" spans="2:2" x14ac:dyDescent="0.25">
      <c r="B1078" s="12"/>
    </row>
    <row r="1079" spans="2:2" x14ac:dyDescent="0.25">
      <c r="B1079" s="12"/>
    </row>
    <row r="1080" spans="2:2" x14ac:dyDescent="0.25">
      <c r="B1080" s="12"/>
    </row>
    <row r="1081" spans="2:2" x14ac:dyDescent="0.25">
      <c r="B1081" s="12"/>
    </row>
    <row r="1082" spans="2:2" x14ac:dyDescent="0.25">
      <c r="B1082" s="12"/>
    </row>
    <row r="1083" spans="2:2" x14ac:dyDescent="0.25">
      <c r="B1083" s="12"/>
    </row>
    <row r="1084" spans="2:2" x14ac:dyDescent="0.25">
      <c r="B1084" s="12"/>
    </row>
    <row r="1085" spans="2:2" x14ac:dyDescent="0.25">
      <c r="B1085" s="12"/>
    </row>
    <row r="1086" spans="2:2" x14ac:dyDescent="0.25">
      <c r="B1086" s="12"/>
    </row>
    <row r="1087" spans="2:2" x14ac:dyDescent="0.25">
      <c r="B1087" s="12"/>
    </row>
    <row r="1088" spans="2:2" x14ac:dyDescent="0.25">
      <c r="B1088" s="12"/>
    </row>
    <row r="1089" spans="2:2" x14ac:dyDescent="0.25">
      <c r="B1089" s="12"/>
    </row>
    <row r="1090" spans="2:2" x14ac:dyDescent="0.25">
      <c r="B1090" s="12"/>
    </row>
    <row r="1091" spans="2:2" x14ac:dyDescent="0.25">
      <c r="B1091" s="12"/>
    </row>
    <row r="1092" spans="2:2" x14ac:dyDescent="0.25">
      <c r="B1092" s="12"/>
    </row>
    <row r="1093" spans="2:2" x14ac:dyDescent="0.25">
      <c r="B1093" s="12"/>
    </row>
    <row r="1094" spans="2:2" x14ac:dyDescent="0.25">
      <c r="B1094" s="12"/>
    </row>
    <row r="1095" spans="2:2" x14ac:dyDescent="0.25">
      <c r="B1095" s="12"/>
    </row>
    <row r="1096" spans="2:2" x14ac:dyDescent="0.25">
      <c r="B1096" s="12"/>
    </row>
    <row r="1097" spans="2:2" x14ac:dyDescent="0.25">
      <c r="B1097" s="12"/>
    </row>
    <row r="1098" spans="2:2" x14ac:dyDescent="0.25">
      <c r="B1098" s="12"/>
    </row>
    <row r="1099" spans="2:2" x14ac:dyDescent="0.25">
      <c r="B1099" s="12"/>
    </row>
    <row r="1100" spans="2:2" x14ac:dyDescent="0.25">
      <c r="B1100" s="12"/>
    </row>
    <row r="1101" spans="2:2" x14ac:dyDescent="0.25">
      <c r="B1101" s="12"/>
    </row>
    <row r="1102" spans="2:2" x14ac:dyDescent="0.25">
      <c r="B1102" s="12"/>
    </row>
    <row r="1103" spans="2:2" x14ac:dyDescent="0.25">
      <c r="B1103" s="12"/>
    </row>
    <row r="1104" spans="2:2" x14ac:dyDescent="0.25">
      <c r="B1104" s="12"/>
    </row>
    <row r="1105" spans="2:2" x14ac:dyDescent="0.25">
      <c r="B1105" s="12"/>
    </row>
    <row r="1106" spans="2:2" x14ac:dyDescent="0.25">
      <c r="B1106" s="12"/>
    </row>
    <row r="1107" spans="2:2" x14ac:dyDescent="0.25">
      <c r="B1107" s="12"/>
    </row>
    <row r="1108" spans="2:2" x14ac:dyDescent="0.25">
      <c r="B1108" s="12"/>
    </row>
    <row r="1109" spans="2:2" x14ac:dyDescent="0.25">
      <c r="B1109" s="12"/>
    </row>
    <row r="1110" spans="2:2" x14ac:dyDescent="0.25">
      <c r="B1110" s="12"/>
    </row>
    <row r="1111" spans="2:2" x14ac:dyDescent="0.25">
      <c r="B1111" s="12"/>
    </row>
    <row r="1112" spans="2:2" x14ac:dyDescent="0.25">
      <c r="B1112" s="12"/>
    </row>
    <row r="1113" spans="2:2" x14ac:dyDescent="0.25">
      <c r="B1113" s="12"/>
    </row>
    <row r="1114" spans="2:2" x14ac:dyDescent="0.25">
      <c r="B1114" s="12"/>
    </row>
    <row r="1115" spans="2:2" x14ac:dyDescent="0.25">
      <c r="B1115" s="12"/>
    </row>
    <row r="1116" spans="2:2" x14ac:dyDescent="0.25">
      <c r="B1116" s="12"/>
    </row>
    <row r="1117" spans="2:2" x14ac:dyDescent="0.25">
      <c r="B1117" s="12"/>
    </row>
    <row r="1118" spans="2:2" x14ac:dyDescent="0.25">
      <c r="B1118" s="12"/>
    </row>
    <row r="1119" spans="2:2" x14ac:dyDescent="0.25">
      <c r="B1119" s="12"/>
    </row>
    <row r="1120" spans="2:2" x14ac:dyDescent="0.25">
      <c r="B1120" s="12"/>
    </row>
    <row r="1121" spans="2:2" x14ac:dyDescent="0.25">
      <c r="B1121" s="12"/>
    </row>
    <row r="1122" spans="2:2" x14ac:dyDescent="0.25">
      <c r="B1122" s="12"/>
    </row>
    <row r="1123" spans="2:2" x14ac:dyDescent="0.25">
      <c r="B1123" s="12"/>
    </row>
    <row r="1124" spans="2:2" x14ac:dyDescent="0.25">
      <c r="B1124" s="12"/>
    </row>
    <row r="1125" spans="2:2" x14ac:dyDescent="0.25">
      <c r="B1125" s="12"/>
    </row>
    <row r="1126" spans="2:2" x14ac:dyDescent="0.25">
      <c r="B1126" s="12"/>
    </row>
    <row r="1127" spans="2:2" x14ac:dyDescent="0.25">
      <c r="B1127" s="12"/>
    </row>
    <row r="1128" spans="2:2" x14ac:dyDescent="0.25">
      <c r="B1128" s="12"/>
    </row>
    <row r="1129" spans="2:2" x14ac:dyDescent="0.25">
      <c r="B1129" s="12"/>
    </row>
    <row r="1130" spans="2:2" x14ac:dyDescent="0.25">
      <c r="B1130" s="12"/>
    </row>
    <row r="1131" spans="2:2" x14ac:dyDescent="0.25">
      <c r="B1131" s="12"/>
    </row>
    <row r="1132" spans="2:2" x14ac:dyDescent="0.25">
      <c r="B1132" s="12"/>
    </row>
    <row r="1133" spans="2:2" x14ac:dyDescent="0.25">
      <c r="B1133" s="12"/>
    </row>
    <row r="1134" spans="2:2" x14ac:dyDescent="0.25">
      <c r="B1134" s="12"/>
    </row>
    <row r="1135" spans="2:2" x14ac:dyDescent="0.25">
      <c r="B1135" s="12"/>
    </row>
    <row r="1136" spans="2:2" x14ac:dyDescent="0.25">
      <c r="B1136" s="12"/>
    </row>
    <row r="1137" spans="2:2" x14ac:dyDescent="0.25">
      <c r="B1137" s="12"/>
    </row>
    <row r="1138" spans="2:2" x14ac:dyDescent="0.25">
      <c r="B1138" s="12"/>
    </row>
    <row r="1139" spans="2:2" x14ac:dyDescent="0.25">
      <c r="B1139" s="12"/>
    </row>
    <row r="1140" spans="2:2" x14ac:dyDescent="0.25">
      <c r="B1140" s="12"/>
    </row>
    <row r="1141" spans="2:2" x14ac:dyDescent="0.25">
      <c r="B1141" s="12"/>
    </row>
    <row r="1142" spans="2:2" x14ac:dyDescent="0.25">
      <c r="B1142" s="12"/>
    </row>
    <row r="1143" spans="2:2" x14ac:dyDescent="0.25">
      <c r="B1143" s="12"/>
    </row>
    <row r="1144" spans="2:2" x14ac:dyDescent="0.25">
      <c r="B1144" s="12"/>
    </row>
    <row r="1145" spans="2:2" x14ac:dyDescent="0.25">
      <c r="B1145" s="12"/>
    </row>
    <row r="1146" spans="2:2" x14ac:dyDescent="0.25">
      <c r="B1146" s="12"/>
    </row>
    <row r="1147" spans="2:2" x14ac:dyDescent="0.25">
      <c r="B1147" s="12"/>
    </row>
    <row r="1148" spans="2:2" x14ac:dyDescent="0.25">
      <c r="B1148" s="12"/>
    </row>
    <row r="1149" spans="2:2" x14ac:dyDescent="0.25">
      <c r="B1149" s="12"/>
    </row>
    <row r="1150" spans="2:2" x14ac:dyDescent="0.25">
      <c r="B1150" s="12"/>
    </row>
    <row r="1151" spans="2:2" x14ac:dyDescent="0.25">
      <c r="B1151" s="12"/>
    </row>
    <row r="1152" spans="2:2" x14ac:dyDescent="0.25">
      <c r="B1152" s="12"/>
    </row>
    <row r="1153" spans="2:2" x14ac:dyDescent="0.25">
      <c r="B1153" s="12"/>
    </row>
    <row r="1154" spans="2:2" x14ac:dyDescent="0.25">
      <c r="B1154" s="12"/>
    </row>
    <row r="1155" spans="2:2" x14ac:dyDescent="0.25">
      <c r="B1155" s="12"/>
    </row>
    <row r="1156" spans="2:2" x14ac:dyDescent="0.25">
      <c r="B1156" s="12"/>
    </row>
    <row r="1157" spans="2:2" x14ac:dyDescent="0.25">
      <c r="B1157" s="12"/>
    </row>
    <row r="1158" spans="2:2" x14ac:dyDescent="0.25">
      <c r="B1158" s="12"/>
    </row>
    <row r="1159" spans="2:2" x14ac:dyDescent="0.25">
      <c r="B1159" s="12"/>
    </row>
    <row r="1160" spans="2:2" x14ac:dyDescent="0.25">
      <c r="B1160" s="12"/>
    </row>
    <row r="1161" spans="2:2" x14ac:dyDescent="0.25">
      <c r="B1161" s="12"/>
    </row>
    <row r="1162" spans="2:2" x14ac:dyDescent="0.25">
      <c r="B1162" s="12"/>
    </row>
    <row r="1163" spans="2:2" x14ac:dyDescent="0.25">
      <c r="B1163" s="12"/>
    </row>
    <row r="1164" spans="2:2" x14ac:dyDescent="0.25">
      <c r="B1164" s="12"/>
    </row>
    <row r="1165" spans="2:2" x14ac:dyDescent="0.25">
      <c r="B1165" s="12"/>
    </row>
    <row r="1166" spans="2:2" x14ac:dyDescent="0.25">
      <c r="B1166" s="12"/>
    </row>
    <row r="1167" spans="2:2" x14ac:dyDescent="0.25">
      <c r="B1167" s="12"/>
    </row>
    <row r="1168" spans="2:2" x14ac:dyDescent="0.25">
      <c r="B1168" s="12"/>
    </row>
    <row r="1169" spans="2:2" x14ac:dyDescent="0.25">
      <c r="B1169" s="12"/>
    </row>
    <row r="1170" spans="2:2" x14ac:dyDescent="0.25">
      <c r="B1170" s="12"/>
    </row>
    <row r="1171" spans="2:2" x14ac:dyDescent="0.25">
      <c r="B1171" s="12"/>
    </row>
    <row r="1172" spans="2:2" x14ac:dyDescent="0.25">
      <c r="B1172" s="12"/>
    </row>
    <row r="1173" spans="2:2" x14ac:dyDescent="0.25">
      <c r="B1173" s="12"/>
    </row>
    <row r="1174" spans="2:2" x14ac:dyDescent="0.25">
      <c r="B1174" s="12"/>
    </row>
    <row r="1175" spans="2:2" x14ac:dyDescent="0.25">
      <c r="B1175" s="12"/>
    </row>
    <row r="1176" spans="2:2" x14ac:dyDescent="0.25">
      <c r="B1176" s="12"/>
    </row>
    <row r="1177" spans="2:2" x14ac:dyDescent="0.25">
      <c r="B1177" s="12"/>
    </row>
    <row r="1178" spans="2:2" x14ac:dyDescent="0.25">
      <c r="B1178" s="12"/>
    </row>
    <row r="1179" spans="2:2" x14ac:dyDescent="0.25">
      <c r="B1179" s="12"/>
    </row>
    <row r="1180" spans="2:2" x14ac:dyDescent="0.25">
      <c r="B1180" s="12"/>
    </row>
    <row r="1181" spans="2:2" x14ac:dyDescent="0.25">
      <c r="B1181" s="12"/>
    </row>
    <row r="1182" spans="2:2" x14ac:dyDescent="0.25">
      <c r="B1182" s="12"/>
    </row>
    <row r="1183" spans="2:2" x14ac:dyDescent="0.25">
      <c r="B1183" s="12"/>
    </row>
    <row r="1184" spans="2:2" x14ac:dyDescent="0.25">
      <c r="B1184" s="12"/>
    </row>
    <row r="1185" spans="2:2" x14ac:dyDescent="0.25">
      <c r="B1185" s="12"/>
    </row>
    <row r="1186" spans="2:2" x14ac:dyDescent="0.25">
      <c r="B1186" s="12"/>
    </row>
    <row r="1187" spans="2:2" x14ac:dyDescent="0.25">
      <c r="B1187" s="12"/>
    </row>
    <row r="1188" spans="2:2" x14ac:dyDescent="0.25">
      <c r="B1188" s="12"/>
    </row>
    <row r="1189" spans="2:2" x14ac:dyDescent="0.25">
      <c r="B1189" s="12"/>
    </row>
    <row r="1190" spans="2:2" x14ac:dyDescent="0.25">
      <c r="B1190" s="12"/>
    </row>
    <row r="1191" spans="2:2" x14ac:dyDescent="0.25">
      <c r="B1191" s="12"/>
    </row>
    <row r="1192" spans="2:2" x14ac:dyDescent="0.25">
      <c r="B1192" s="12"/>
    </row>
    <row r="1193" spans="2:2" x14ac:dyDescent="0.25">
      <c r="B1193" s="12"/>
    </row>
    <row r="1194" spans="2:2" x14ac:dyDescent="0.25">
      <c r="B1194" s="12"/>
    </row>
    <row r="1195" spans="2:2" x14ac:dyDescent="0.25">
      <c r="B1195" s="12"/>
    </row>
    <row r="1196" spans="2:2" x14ac:dyDescent="0.25">
      <c r="B1196" s="12"/>
    </row>
    <row r="1197" spans="2:2" x14ac:dyDescent="0.25">
      <c r="B1197" s="12"/>
    </row>
    <row r="1198" spans="2:2" x14ac:dyDescent="0.25">
      <c r="B1198" s="12"/>
    </row>
    <row r="1199" spans="2:2" x14ac:dyDescent="0.25">
      <c r="B1199" s="12"/>
    </row>
    <row r="1200" spans="2:2" x14ac:dyDescent="0.25">
      <c r="B1200" s="12"/>
    </row>
    <row r="1201" spans="2:2" x14ac:dyDescent="0.25">
      <c r="B1201" s="12"/>
    </row>
    <row r="1202" spans="2:2" x14ac:dyDescent="0.25">
      <c r="B1202" s="12"/>
    </row>
    <row r="1203" spans="2:2" x14ac:dyDescent="0.25">
      <c r="B1203" s="12"/>
    </row>
    <row r="1204" spans="2:2" x14ac:dyDescent="0.25">
      <c r="B1204" s="12"/>
    </row>
    <row r="1205" spans="2:2" x14ac:dyDescent="0.25">
      <c r="B1205" s="12"/>
    </row>
    <row r="1206" spans="2:2" x14ac:dyDescent="0.25">
      <c r="B1206" s="12"/>
    </row>
    <row r="1207" spans="2:2" x14ac:dyDescent="0.25">
      <c r="B1207" s="12"/>
    </row>
    <row r="1208" spans="2:2" x14ac:dyDescent="0.25">
      <c r="B1208" s="12"/>
    </row>
    <row r="1209" spans="2:2" x14ac:dyDescent="0.25">
      <c r="B1209" s="12"/>
    </row>
    <row r="1210" spans="2:2" x14ac:dyDescent="0.25">
      <c r="B1210" s="12"/>
    </row>
    <row r="1211" spans="2:2" x14ac:dyDescent="0.25">
      <c r="B1211" s="12"/>
    </row>
    <row r="1212" spans="2:2" x14ac:dyDescent="0.25">
      <c r="B1212" s="12"/>
    </row>
    <row r="1213" spans="2:2" x14ac:dyDescent="0.25">
      <c r="B1213" s="12"/>
    </row>
    <row r="1214" spans="2:2" x14ac:dyDescent="0.25">
      <c r="B1214" s="12"/>
    </row>
    <row r="1215" spans="2:2" x14ac:dyDescent="0.25">
      <c r="B1215" s="12"/>
    </row>
    <row r="1216" spans="2:2" x14ac:dyDescent="0.25">
      <c r="B1216" s="12"/>
    </row>
    <row r="1217" spans="2:2" x14ac:dyDescent="0.25">
      <c r="B1217" s="12"/>
    </row>
    <row r="1218" spans="2:2" x14ac:dyDescent="0.25">
      <c r="B1218" s="12"/>
    </row>
    <row r="1219" spans="2:2" x14ac:dyDescent="0.25">
      <c r="B1219" s="12"/>
    </row>
    <row r="1220" spans="2:2" x14ac:dyDescent="0.25">
      <c r="B1220" s="12"/>
    </row>
    <row r="1221" spans="2:2" x14ac:dyDescent="0.25">
      <c r="B1221" s="12"/>
    </row>
    <row r="1222" spans="2:2" x14ac:dyDescent="0.25">
      <c r="B1222" s="12"/>
    </row>
    <row r="1223" spans="2:2" x14ac:dyDescent="0.25">
      <c r="B1223" s="12"/>
    </row>
    <row r="1224" spans="2:2" x14ac:dyDescent="0.25">
      <c r="B1224" s="12"/>
    </row>
    <row r="1225" spans="2:2" x14ac:dyDescent="0.25">
      <c r="B1225" s="12"/>
    </row>
    <row r="1226" spans="2:2" x14ac:dyDescent="0.25">
      <c r="B1226" s="12"/>
    </row>
    <row r="1227" spans="2:2" x14ac:dyDescent="0.25">
      <c r="B1227" s="12"/>
    </row>
    <row r="1228" spans="2:2" x14ac:dyDescent="0.25">
      <c r="B1228" s="12"/>
    </row>
    <row r="1229" spans="2:2" x14ac:dyDescent="0.25">
      <c r="B1229" s="12"/>
    </row>
    <row r="1230" spans="2:2" x14ac:dyDescent="0.25">
      <c r="B1230" s="12"/>
    </row>
    <row r="1231" spans="2:2" x14ac:dyDescent="0.25">
      <c r="B1231" s="12"/>
    </row>
    <row r="1232" spans="2:2" x14ac:dyDescent="0.25">
      <c r="B1232" s="12"/>
    </row>
    <row r="1233" spans="2:2" x14ac:dyDescent="0.25">
      <c r="B1233" s="12"/>
    </row>
    <row r="1234" spans="2:2" x14ac:dyDescent="0.25">
      <c r="B1234" s="12"/>
    </row>
    <row r="1235" spans="2:2" x14ac:dyDescent="0.25">
      <c r="B1235" s="12"/>
    </row>
    <row r="1236" spans="2:2" x14ac:dyDescent="0.25">
      <c r="B1236" s="12"/>
    </row>
    <row r="1237" spans="2:2" x14ac:dyDescent="0.25">
      <c r="B1237" s="12"/>
    </row>
    <row r="1238" spans="2:2" x14ac:dyDescent="0.25">
      <c r="B1238" s="12"/>
    </row>
    <row r="1239" spans="2:2" x14ac:dyDescent="0.25">
      <c r="B1239" s="12"/>
    </row>
    <row r="1240" spans="2:2" x14ac:dyDescent="0.25">
      <c r="B1240" s="12"/>
    </row>
    <row r="1241" spans="2:2" x14ac:dyDescent="0.25">
      <c r="B1241" s="12"/>
    </row>
    <row r="1242" spans="2:2" x14ac:dyDescent="0.25">
      <c r="B1242" s="12"/>
    </row>
    <row r="1243" spans="2:2" x14ac:dyDescent="0.25">
      <c r="B1243" s="12"/>
    </row>
    <row r="1244" spans="2:2" x14ac:dyDescent="0.25">
      <c r="B1244" s="12"/>
    </row>
    <row r="1245" spans="2:2" x14ac:dyDescent="0.25">
      <c r="B1245" s="12"/>
    </row>
    <row r="1246" spans="2:2" x14ac:dyDescent="0.25">
      <c r="B1246" s="12"/>
    </row>
    <row r="1247" spans="2:2" x14ac:dyDescent="0.25">
      <c r="B1247" s="12"/>
    </row>
    <row r="1248" spans="2:2" x14ac:dyDescent="0.25">
      <c r="B1248" s="12"/>
    </row>
    <row r="1249" spans="2:2" x14ac:dyDescent="0.25">
      <c r="B1249" s="12"/>
    </row>
    <row r="1250" spans="2:2" x14ac:dyDescent="0.25">
      <c r="B1250" s="12"/>
    </row>
    <row r="1251" spans="2:2" x14ac:dyDescent="0.25">
      <c r="B1251" s="12"/>
    </row>
    <row r="1252" spans="2:2" x14ac:dyDescent="0.25">
      <c r="B1252" s="12"/>
    </row>
    <row r="1253" spans="2:2" x14ac:dyDescent="0.25">
      <c r="B1253" s="12"/>
    </row>
    <row r="1254" spans="2:2" x14ac:dyDescent="0.25">
      <c r="B1254" s="12"/>
    </row>
    <row r="1255" spans="2:2" x14ac:dyDescent="0.25">
      <c r="B1255" s="12"/>
    </row>
    <row r="1256" spans="2:2" x14ac:dyDescent="0.25">
      <c r="B1256" s="12"/>
    </row>
    <row r="1257" spans="2:2" x14ac:dyDescent="0.25">
      <c r="B1257" s="12"/>
    </row>
    <row r="1258" spans="2:2" x14ac:dyDescent="0.25">
      <c r="B1258" s="12"/>
    </row>
    <row r="1259" spans="2:2" x14ac:dyDescent="0.25">
      <c r="B1259" s="12"/>
    </row>
    <row r="1260" spans="2:2" x14ac:dyDescent="0.25">
      <c r="B1260" s="12"/>
    </row>
    <row r="1261" spans="2:2" x14ac:dyDescent="0.25">
      <c r="B1261" s="12"/>
    </row>
    <row r="1262" spans="2:2" x14ac:dyDescent="0.25">
      <c r="B1262" s="12"/>
    </row>
    <row r="1263" spans="2:2" x14ac:dyDescent="0.25">
      <c r="B1263" s="12"/>
    </row>
    <row r="1264" spans="2:2" x14ac:dyDescent="0.25">
      <c r="B1264" s="12"/>
    </row>
    <row r="1265" spans="2:2" x14ac:dyDescent="0.25">
      <c r="B1265" s="12"/>
    </row>
  </sheetData>
  <conditionalFormatting sqref="D7:D65">
    <cfRule type="cellIs" dxfId="0" priority="1" operator="between">
      <formula>1.7</formula>
      <formula>2.1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cion">
                <anchor moveWithCells="1" sizeWithCells="1">
                  <from>
                    <xdr:col>2</xdr:col>
                    <xdr:colOff>161925</xdr:colOff>
                    <xdr:row>1</xdr:row>
                    <xdr:rowOff>19050</xdr:rowOff>
                  </from>
                  <to>
                    <xdr:col>3</xdr:col>
                    <xdr:colOff>419100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mooth">
                <anchor moveWithCells="1" sizeWithCells="1">
                  <from>
                    <xdr:col>2</xdr:col>
                    <xdr:colOff>171450</xdr:colOff>
                    <xdr:row>2</xdr:row>
                    <xdr:rowOff>314325</xdr:rowOff>
                  </from>
                  <to>
                    <xdr:col>3</xdr:col>
                    <xdr:colOff>485775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rrardatos">
                <anchor moveWithCells="1" sizeWithCells="1">
                  <from>
                    <xdr:col>3</xdr:col>
                    <xdr:colOff>752475</xdr:colOff>
                    <xdr:row>2</xdr:row>
                    <xdr:rowOff>76200</xdr:rowOff>
                  </from>
                  <to>
                    <xdr:col>5</xdr:col>
                    <xdr:colOff>381000</xdr:colOff>
                    <xdr:row>2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W140"/>
  <sheetViews>
    <sheetView showGridLines="0" tabSelected="1" view="pageBreakPreview" topLeftCell="A108" zoomScale="70" zoomScaleNormal="70" zoomScaleSheetLayoutView="70" workbookViewId="0">
      <selection activeCell="R113" sqref="R113"/>
    </sheetView>
  </sheetViews>
  <sheetFormatPr defaultColWidth="11.42578125" defaultRowHeight="14.25" x14ac:dyDescent="0.2"/>
  <cols>
    <col min="1" max="1" width="11.42578125" style="94"/>
    <col min="2" max="2" width="16.85546875" style="93" customWidth="1"/>
    <col min="3" max="3" width="22.28515625" style="93" customWidth="1"/>
    <col min="4" max="4" width="16.28515625" style="93" customWidth="1"/>
    <col min="5" max="5" width="14.140625" style="93" customWidth="1"/>
    <col min="6" max="6" width="6.7109375" style="93" bestFit="1" customWidth="1"/>
    <col min="7" max="7" width="14" style="93" customWidth="1"/>
    <col min="8" max="8" width="14.5703125" style="93" customWidth="1"/>
    <col min="9" max="9" width="6.7109375" style="93" customWidth="1"/>
    <col min="10" max="10" width="9.28515625" style="93" customWidth="1"/>
    <col min="11" max="11" width="9.42578125" style="93" customWidth="1"/>
    <col min="12" max="12" width="13.7109375" style="93" customWidth="1"/>
    <col min="13" max="19" width="11.42578125" style="94"/>
    <col min="20" max="20" width="11.42578125" style="93"/>
    <col min="21" max="16384" width="11.42578125" style="94"/>
  </cols>
  <sheetData>
    <row r="1" spans="2:23" x14ac:dyDescent="0.2">
      <c r="B1" s="88"/>
      <c r="C1" s="89"/>
      <c r="D1" s="89"/>
      <c r="E1" s="89"/>
      <c r="F1" s="89"/>
      <c r="G1" s="89"/>
      <c r="H1" s="89"/>
      <c r="I1" s="89"/>
      <c r="J1" s="89"/>
      <c r="K1" s="89"/>
      <c r="L1" s="89"/>
      <c r="M1" s="90"/>
      <c r="N1" s="90"/>
      <c r="O1" s="90"/>
      <c r="P1" s="90"/>
      <c r="Q1" s="90"/>
      <c r="R1" s="91"/>
      <c r="S1" s="92"/>
    </row>
    <row r="2" spans="2:23" x14ac:dyDescent="0.2">
      <c r="B2" s="95"/>
      <c r="R2" s="96"/>
    </row>
    <row r="3" spans="2:23" ht="26.25" x14ac:dyDescent="0.2">
      <c r="B3" s="95"/>
      <c r="E3" s="163" t="s">
        <v>12</v>
      </c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97"/>
      <c r="Q3" s="97"/>
      <c r="R3" s="98"/>
      <c r="S3" s="97"/>
      <c r="T3" s="99"/>
    </row>
    <row r="4" spans="2:23" x14ac:dyDescent="0.2">
      <c r="B4" s="95"/>
      <c r="R4" s="96"/>
    </row>
    <row r="5" spans="2:23" ht="15" x14ac:dyDescent="0.25">
      <c r="B5" s="95"/>
      <c r="C5" s="164" t="s">
        <v>58</v>
      </c>
      <c r="D5" s="165"/>
      <c r="E5" s="165"/>
      <c r="R5" s="102"/>
    </row>
    <row r="6" spans="2:23" ht="15" x14ac:dyDescent="0.25">
      <c r="B6" s="95"/>
      <c r="C6" s="100"/>
      <c r="D6" s="101"/>
      <c r="E6" s="101"/>
      <c r="R6" s="102"/>
    </row>
    <row r="7" spans="2:23" ht="15.75" x14ac:dyDescent="0.2">
      <c r="B7" s="69" t="s">
        <v>13</v>
      </c>
      <c r="C7" s="166" t="s">
        <v>60</v>
      </c>
      <c r="D7" s="166"/>
      <c r="E7" s="166"/>
      <c r="F7" s="166"/>
      <c r="G7" s="80"/>
      <c r="M7" s="162" t="s">
        <v>56</v>
      </c>
      <c r="N7" s="162"/>
      <c r="O7" s="162"/>
      <c r="P7" s="162"/>
      <c r="Q7" s="125">
        <v>45603</v>
      </c>
      <c r="R7" s="103"/>
    </row>
    <row r="8" spans="2:23" ht="15.75" x14ac:dyDescent="0.25">
      <c r="B8" s="69" t="s">
        <v>15</v>
      </c>
      <c r="C8" s="157" t="s">
        <v>61</v>
      </c>
      <c r="D8" s="157"/>
      <c r="E8" s="157"/>
      <c r="F8" s="81"/>
      <c r="G8" s="81"/>
      <c r="R8" s="70"/>
      <c r="S8" s="13"/>
      <c r="T8" s="14"/>
    </row>
    <row r="9" spans="2:23" ht="15.75" customHeight="1" x14ac:dyDescent="0.25">
      <c r="B9" s="104" t="s">
        <v>66</v>
      </c>
      <c r="D9" s="87" t="s">
        <v>65</v>
      </c>
      <c r="E9" s="87"/>
      <c r="F9" s="87"/>
      <c r="G9" s="105"/>
      <c r="M9" s="162" t="s">
        <v>57</v>
      </c>
      <c r="N9" s="162"/>
      <c r="O9" s="162"/>
      <c r="P9" s="162"/>
      <c r="Q9" s="82">
        <v>15</v>
      </c>
      <c r="R9" s="71"/>
      <c r="S9" s="15"/>
      <c r="T9" s="16"/>
    </row>
    <row r="10" spans="2:23" ht="15.75" x14ac:dyDescent="0.25">
      <c r="B10" s="72" t="s">
        <v>16</v>
      </c>
      <c r="C10" s="157" t="s">
        <v>62</v>
      </c>
      <c r="D10" s="157"/>
      <c r="E10" s="157"/>
      <c r="F10" s="83"/>
      <c r="G10" s="83"/>
      <c r="M10" s="162" t="s">
        <v>14</v>
      </c>
      <c r="N10" s="162"/>
      <c r="O10" s="162"/>
      <c r="P10" s="162"/>
      <c r="Q10" s="80">
        <v>1</v>
      </c>
      <c r="R10" s="71"/>
      <c r="S10" s="15"/>
      <c r="T10" s="16"/>
    </row>
    <row r="11" spans="2:23" ht="15.75" x14ac:dyDescent="0.25">
      <c r="B11" s="84" t="s">
        <v>55</v>
      </c>
      <c r="C11" s="158" t="s">
        <v>63</v>
      </c>
      <c r="D11" s="158"/>
      <c r="E11" s="158"/>
      <c r="F11" s="85"/>
      <c r="G11" s="85"/>
      <c r="H11" s="106"/>
      <c r="I11" s="106"/>
      <c r="J11" s="106"/>
      <c r="K11" s="106"/>
      <c r="L11" s="106"/>
      <c r="M11" s="85"/>
      <c r="N11" s="85"/>
      <c r="O11" s="85"/>
      <c r="P11" s="85"/>
      <c r="Q11" s="85"/>
      <c r="R11" s="86"/>
      <c r="S11" s="15"/>
      <c r="T11" s="16"/>
    </row>
    <row r="12" spans="2:23" ht="23.25" x14ac:dyDescent="0.35">
      <c r="B12" s="168" t="s">
        <v>64</v>
      </c>
      <c r="C12" s="169"/>
      <c r="D12" s="169"/>
      <c r="E12" s="169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170"/>
    </row>
    <row r="13" spans="2:23" ht="81.75" customHeight="1" x14ac:dyDescent="0.2">
      <c r="B13" s="17" t="s">
        <v>17</v>
      </c>
      <c r="C13" s="60" t="s">
        <v>36</v>
      </c>
      <c r="D13" s="60" t="s">
        <v>18</v>
      </c>
      <c r="E13" s="60" t="s">
        <v>19</v>
      </c>
      <c r="F13" s="60" t="s">
        <v>20</v>
      </c>
      <c r="G13" s="60" t="s">
        <v>30</v>
      </c>
      <c r="H13" s="27" t="s">
        <v>35</v>
      </c>
      <c r="I13" s="60" t="s">
        <v>29</v>
      </c>
      <c r="J13" s="28" t="s">
        <v>8</v>
      </c>
      <c r="K13" s="60" t="s">
        <v>5</v>
      </c>
      <c r="L13" s="167" t="s">
        <v>21</v>
      </c>
      <c r="M13" s="167"/>
      <c r="N13" s="167"/>
      <c r="O13" s="167"/>
      <c r="P13" s="167"/>
      <c r="Q13" s="167"/>
      <c r="R13" s="167"/>
    </row>
    <row r="14" spans="2:23" ht="16.5" x14ac:dyDescent="0.3">
      <c r="B14" s="128" t="s">
        <v>22</v>
      </c>
      <c r="C14" s="29" t="s">
        <v>22</v>
      </c>
      <c r="D14" s="23" t="s">
        <v>23</v>
      </c>
      <c r="E14" s="23" t="s">
        <v>24</v>
      </c>
      <c r="F14" s="23" t="s">
        <v>25</v>
      </c>
      <c r="G14" s="23" t="s">
        <v>32</v>
      </c>
      <c r="H14" s="75" t="s">
        <v>24</v>
      </c>
      <c r="I14" s="23" t="s">
        <v>25</v>
      </c>
      <c r="J14" s="29" t="s">
        <v>31</v>
      </c>
      <c r="K14" s="23" t="s">
        <v>31</v>
      </c>
      <c r="L14" s="167"/>
      <c r="M14" s="167"/>
      <c r="N14" s="167"/>
      <c r="O14" s="167"/>
      <c r="P14" s="167"/>
      <c r="Q14" s="167"/>
      <c r="R14" s="167"/>
      <c r="S14" s="37" t="s">
        <v>26</v>
      </c>
      <c r="V14" s="107" t="s">
        <v>67</v>
      </c>
      <c r="W14" s="93" t="e">
        <f>IF(MAX(B15:B50)&gt;30,30,MAX(B15:B50))</f>
        <v>#N/A</v>
      </c>
    </row>
    <row r="15" spans="2:23" ht="15.75" x14ac:dyDescent="0.25">
      <c r="B15" s="129">
        <f>IF(Analisis!A7="","",Analisis!A7)</f>
        <v>1</v>
      </c>
      <c r="C15" s="126">
        <f t="shared" ref="C15:C29" si="0">IF(B15="","",($Q$10^2+B15^2)^(1/2))</f>
        <v>1.4142135623730951</v>
      </c>
      <c r="D15" s="25">
        <f>IF(B15="","",$C15/F15)</f>
        <v>9.4685340369780185E-3</v>
      </c>
      <c r="E15" s="76"/>
      <c r="F15" s="26">
        <f>IF(B15="","",Analisis!J7)</f>
        <v>149.35929435856536</v>
      </c>
      <c r="G15" s="25">
        <f>IF(B15="","",$C15/I15)</f>
        <v>1.8384012230364009E-3</v>
      </c>
      <c r="H15" s="25"/>
      <c r="I15" s="26">
        <f>IF(B15="","",Analisis!I7)</f>
        <v>769.26274017447895</v>
      </c>
      <c r="J15" s="24">
        <f>IF(B15="","",Analisis!K7)</f>
        <v>0.48041274389664562</v>
      </c>
      <c r="K15" s="24">
        <f>IF(B15="","",I15/F15)</f>
        <v>5.1504176119613794</v>
      </c>
      <c r="L15" s="108"/>
      <c r="M15" s="109"/>
      <c r="N15" s="110"/>
      <c r="O15" s="110"/>
      <c r="P15" s="110"/>
      <c r="Q15" s="110"/>
      <c r="R15" s="111"/>
      <c r="S15" s="112">
        <f>IF(F15="",0,1/F15)</f>
        <v>6.6952646254427933E-3</v>
      </c>
      <c r="V15" s="107" t="s">
        <v>27</v>
      </c>
      <c r="W15" s="113" t="e">
        <f>SUM(S15:S44)</f>
        <v>#N/A</v>
      </c>
    </row>
    <row r="16" spans="2:23" ht="15.75" x14ac:dyDescent="0.25">
      <c r="B16" s="130">
        <f>IF(Analisis!A8="",NA(),Analisis!A8)</f>
        <v>2</v>
      </c>
      <c r="C16" s="127">
        <f t="shared" si="0"/>
        <v>2.2360679774997898</v>
      </c>
      <c r="D16" s="35">
        <f t="shared" ref="D16:D27" si="1">IF(B16="","",(($C16-$C15)/F16)+D15)</f>
        <v>1.2681675975286254E-2</v>
      </c>
      <c r="E16" s="77">
        <f>IF(B16="","",(D16-D15))</f>
        <v>3.2131419383082359E-3</v>
      </c>
      <c r="F16" s="36">
        <f>IF(B16="","",Analisis!J8)</f>
        <v>255.77905704327918</v>
      </c>
      <c r="G16" s="35">
        <f>IF(B16="","",(($C16-$C15)/I16)+G15)</f>
        <v>2.4921713408684707E-3</v>
      </c>
      <c r="H16" s="77">
        <f>IF(B16="","",(G16-G15))</f>
        <v>6.5377011783206975E-4</v>
      </c>
      <c r="I16" s="36">
        <f>IF(B16="","",Analisis!C8)</f>
        <v>1257.0999999999999</v>
      </c>
      <c r="J16" s="34">
        <f>IF(B16="","",Analisis!K8)</f>
        <v>0.47582135131253434</v>
      </c>
      <c r="K16" s="34">
        <f t="shared" ref="K16:K29" si="2">IF(B16="","",I16/F16)</f>
        <v>4.9147886247281454</v>
      </c>
      <c r="L16" s="105"/>
      <c r="M16" s="114"/>
      <c r="N16" s="115"/>
      <c r="O16" s="115"/>
      <c r="P16" s="115"/>
      <c r="Q16" s="115"/>
      <c r="R16" s="116"/>
      <c r="S16" s="112">
        <f>IF(F16="",0,1/F16)</f>
        <v>3.9096242341326434E-3</v>
      </c>
      <c r="V16" s="19" t="s">
        <v>26</v>
      </c>
      <c r="W16" s="117" t="e">
        <f>W14/W15</f>
        <v>#N/A</v>
      </c>
    </row>
    <row r="17" spans="2:21" ht="15" x14ac:dyDescent="0.2">
      <c r="B17" s="130">
        <f>IF(Analisis!A9="",NA(),Analisis!A9)</f>
        <v>3</v>
      </c>
      <c r="C17" s="127">
        <f t="shared" si="0"/>
        <v>3.1622776601683795</v>
      </c>
      <c r="D17" s="35">
        <f>IF(B17="","",(($C17-$C16)/F17)+D16)</f>
        <v>1.5622443422165247E-2</v>
      </c>
      <c r="E17" s="77">
        <f>IF(B17="","",(D17-D16))</f>
        <v>2.9407674468789925E-3</v>
      </c>
      <c r="F17" s="36">
        <f>IF(B17="","",Analisis!J9)</f>
        <v>314.95509230135383</v>
      </c>
      <c r="G17" s="35">
        <f t="shared" ref="G17:G27" si="3">IF(B17="","",(($C17-$C16)/I17)+G16)</f>
        <v>3.1405051520602598E-3</v>
      </c>
      <c r="H17" s="77">
        <f t="shared" ref="H17:H27" si="4">IF(B17="","",(G17-G16))</f>
        <v>6.4833381119178916E-4</v>
      </c>
      <c r="I17" s="36">
        <f>IF(B17="","",Analisis!C9)</f>
        <v>1428.6</v>
      </c>
      <c r="J17" s="34">
        <f>IF(B17="","",Analisis!K9)</f>
        <v>0.47444197633909507</v>
      </c>
      <c r="K17" s="34">
        <f t="shared" si="2"/>
        <v>4.5358847496680372</v>
      </c>
      <c r="L17" s="105"/>
      <c r="M17" s="114"/>
      <c r="N17" s="115"/>
      <c r="O17" s="115"/>
      <c r="P17" s="115"/>
      <c r="Q17" s="115"/>
      <c r="R17" s="116"/>
      <c r="S17" s="112">
        <f t="shared" ref="S17:S33" si="5">IF(F17="",0,1/F17)</f>
        <v>3.1750558236511533E-3</v>
      </c>
      <c r="U17" s="118"/>
    </row>
    <row r="18" spans="2:21" ht="15" x14ac:dyDescent="0.2">
      <c r="B18" s="130">
        <f>IF(Analisis!A10="",NA(),Analisis!A10)</f>
        <v>4</v>
      </c>
      <c r="C18" s="127">
        <f t="shared" si="0"/>
        <v>4.1231056256176606</v>
      </c>
      <c r="D18" s="35">
        <f>IF(B18="","",(($C18-$C17)/F18)+D17)</f>
        <v>1.854453724095045E-2</v>
      </c>
      <c r="E18" s="77">
        <f t="shared" ref="E18:E27" si="6">IF(B18="","",(D18-D17))</f>
        <v>2.9220938187852034E-3</v>
      </c>
      <c r="F18" s="36">
        <f>IF(B18="","",Analisis!J10)</f>
        <v>328.81489268839562</v>
      </c>
      <c r="G18" s="35">
        <f t="shared" si="3"/>
        <v>3.788662171386542E-3</v>
      </c>
      <c r="H18" s="77">
        <f t="shared" si="4"/>
        <v>6.4815701932628223E-4</v>
      </c>
      <c r="I18" s="36">
        <f>IF(B18="","",Analisis!C10)</f>
        <v>1482.4</v>
      </c>
      <c r="J18" s="34">
        <f>IF(B18="","",Analisis!K10)</f>
        <v>0.47384485124525744</v>
      </c>
      <c r="K18" s="34">
        <f>IF(B18="","",I18/F18)</f>
        <v>4.5083116153282319</v>
      </c>
      <c r="L18" s="105"/>
      <c r="M18" s="114"/>
      <c r="N18" s="115"/>
      <c r="O18" s="115"/>
      <c r="P18" s="115"/>
      <c r="Q18" s="115"/>
      <c r="R18" s="116"/>
      <c r="S18" s="112">
        <f>IF(F18="",0,1/F18)</f>
        <v>3.0412247809823473E-3</v>
      </c>
    </row>
    <row r="19" spans="2:21" ht="15" x14ac:dyDescent="0.2">
      <c r="B19" s="130">
        <f>IF(Analisis!A11="",NA(),Analisis!A11)</f>
        <v>5</v>
      </c>
      <c r="C19" s="127">
        <f t="shared" si="0"/>
        <v>5.0990195135927845</v>
      </c>
      <c r="D19" s="35">
        <f>IF(B19="","",(($C19-$C18)/F19)+D18)</f>
        <v>2.1459848227233846E-2</v>
      </c>
      <c r="E19" s="77">
        <f>IF(B19="","",(D19-D18))</f>
        <v>2.915310986283396E-3</v>
      </c>
      <c r="F19" s="36">
        <f>IF(B19="","",Analisis!J11)</f>
        <v>334.75464283804376</v>
      </c>
      <c r="G19" s="35">
        <f t="shared" si="3"/>
        <v>4.4374979455871428E-3</v>
      </c>
      <c r="H19" s="77">
        <f t="shared" si="4"/>
        <v>6.4883577420060071E-4</v>
      </c>
      <c r="I19" s="36">
        <f>IF(B19="","",Analisis!C11)</f>
        <v>1504.1</v>
      </c>
      <c r="J19" s="34">
        <f>IF(B19="","",Analisis!K11)</f>
        <v>0.47400488951294889</v>
      </c>
      <c r="K19" s="34">
        <f t="shared" si="2"/>
        <v>4.4931415655605775</v>
      </c>
      <c r="L19" s="105"/>
      <c r="M19" s="114"/>
      <c r="N19" s="115"/>
      <c r="O19" s="115"/>
      <c r="P19" s="115"/>
      <c r="Q19" s="115"/>
      <c r="R19" s="116"/>
      <c r="S19" s="112">
        <f t="shared" si="5"/>
        <v>2.9872625261356143E-3</v>
      </c>
    </row>
    <row r="20" spans="2:21" ht="15" x14ac:dyDescent="0.2">
      <c r="B20" s="130">
        <f>IF(Analisis!A12="",NA(),Analisis!A12)</f>
        <v>6</v>
      </c>
      <c r="C20" s="127">
        <f t="shared" si="0"/>
        <v>6.0827625302982193</v>
      </c>
      <c r="D20" s="35">
        <f t="shared" si="1"/>
        <v>2.4336283563941605E-2</v>
      </c>
      <c r="E20" s="77">
        <f t="shared" si="6"/>
        <v>2.876435336707759E-3</v>
      </c>
      <c r="F20" s="36">
        <f>IF(B20="","",Analisis!J12)</f>
        <v>342.00074103921401</v>
      </c>
      <c r="G20" s="35">
        <f>IF(B20="","",(($C20-$C19)/I20)+G19)</f>
        <v>5.0870047570921173E-3</v>
      </c>
      <c r="H20" s="77">
        <f t="shared" si="4"/>
        <v>6.4950681150497454E-4</v>
      </c>
      <c r="I20" s="36">
        <f>IF(B20="","",Analisis!C12)</f>
        <v>1514.6</v>
      </c>
      <c r="J20" s="34">
        <f>IF(B20="","",Analisis!K12)</f>
        <v>0.47305303045667718</v>
      </c>
      <c r="K20" s="34">
        <f t="shared" si="2"/>
        <v>4.4286453748541295</v>
      </c>
      <c r="L20" s="105"/>
      <c r="M20" s="114"/>
      <c r="N20" s="115"/>
      <c r="O20" s="115"/>
      <c r="P20" s="115"/>
      <c r="Q20" s="115"/>
      <c r="R20" s="116"/>
      <c r="S20" s="112">
        <f t="shared" si="5"/>
        <v>2.9239702725829455E-3</v>
      </c>
      <c r="U20" s="118"/>
    </row>
    <row r="21" spans="2:21" ht="15" x14ac:dyDescent="0.2">
      <c r="B21" s="130">
        <f>IF(Analisis!A13="",NA(),Analisis!A13)</f>
        <v>7</v>
      </c>
      <c r="C21" s="127">
        <f t="shared" si="0"/>
        <v>7.0710678118654755</v>
      </c>
      <c r="D21" s="35">
        <f>IF(B21="","",(($C21-$C20)/F21)+D20)</f>
        <v>2.7102456815317835E-2</v>
      </c>
      <c r="E21" s="77">
        <f t="shared" si="6"/>
        <v>2.7661732513762291E-3</v>
      </c>
      <c r="F21" s="36">
        <f>IF(B21="","",Analisis!J13)</f>
        <v>357.28249525786339</v>
      </c>
      <c r="G21" s="35">
        <f t="shared" si="3"/>
        <v>5.7370345397593468E-3</v>
      </c>
      <c r="H21" s="77">
        <f t="shared" si="4"/>
        <v>6.5002978266722952E-4</v>
      </c>
      <c r="I21" s="36">
        <f>IF(B21="","",Analisis!C13)</f>
        <v>1520.4</v>
      </c>
      <c r="J21" s="34">
        <f>IF(B21="","",Analisis!K13)</f>
        <v>0.47081834666226013</v>
      </c>
      <c r="K21" s="34">
        <f t="shared" si="2"/>
        <v>4.2554561731401748</v>
      </c>
      <c r="L21" s="105"/>
      <c r="M21" s="114"/>
      <c r="N21" s="115"/>
      <c r="O21" s="115"/>
      <c r="P21" s="115"/>
      <c r="Q21" s="115"/>
      <c r="R21" s="116"/>
      <c r="S21" s="112">
        <f t="shared" si="5"/>
        <v>2.7989056650487864E-3</v>
      </c>
      <c r="U21" s="93"/>
    </row>
    <row r="22" spans="2:21" ht="15" x14ac:dyDescent="0.2">
      <c r="B22" s="130">
        <f>IF(Analisis!A14="",NA(),Analisis!A14)</f>
        <v>8</v>
      </c>
      <c r="C22" s="127">
        <f t="shared" si="0"/>
        <v>8.0622577482985491</v>
      </c>
      <c r="D22" s="35">
        <f>IF(B22="","",(($C22-$C21)/F22)+D21)</f>
        <v>2.9819297763744965E-2</v>
      </c>
      <c r="E22" s="77">
        <f t="shared" si="6"/>
        <v>2.7168409484271301E-3</v>
      </c>
      <c r="F22" s="36">
        <f>IF(B22="","",Analisis!J14)</f>
        <v>364.8317863461628</v>
      </c>
      <c r="G22" s="35">
        <f t="shared" si="3"/>
        <v>6.3874643162755707E-3</v>
      </c>
      <c r="H22" s="77">
        <f t="shared" si="4"/>
        <v>6.5042977651622383E-4</v>
      </c>
      <c r="I22" s="36">
        <f>IF(B22="","",Analisis!C14)</f>
        <v>1523.9</v>
      </c>
      <c r="J22" s="34">
        <f>IF(B22="","",Analisis!K14)</f>
        <v>0.46955578960377203</v>
      </c>
      <c r="K22" s="34">
        <f t="shared" si="2"/>
        <v>4.1769934995578488</v>
      </c>
      <c r="L22" s="105"/>
      <c r="M22" s="114"/>
      <c r="N22" s="115"/>
      <c r="O22" s="115"/>
      <c r="P22" s="115"/>
      <c r="Q22" s="115"/>
      <c r="R22" s="116"/>
      <c r="S22" s="112">
        <f t="shared" si="5"/>
        <v>2.740989237848841E-3</v>
      </c>
      <c r="U22" s="93"/>
    </row>
    <row r="23" spans="2:21" ht="15" x14ac:dyDescent="0.2">
      <c r="B23" s="130">
        <f>IF(Analisis!A15="",NA(),Analisis!A15)</f>
        <v>9</v>
      </c>
      <c r="C23" s="127">
        <f t="shared" si="0"/>
        <v>9.0553851381374173</v>
      </c>
      <c r="D23" s="35">
        <f t="shared" si="1"/>
        <v>3.2585236651218367E-2</v>
      </c>
      <c r="E23" s="77">
        <f t="shared" si="6"/>
        <v>2.7659388874734028E-3</v>
      </c>
      <c r="F23" s="36">
        <f>IF(B23="","",Analisis!J15)</f>
        <v>359.05615786979962</v>
      </c>
      <c r="G23" s="35">
        <f t="shared" si="3"/>
        <v>7.0382259897169364E-3</v>
      </c>
      <c r="H23" s="77">
        <f t="shared" si="4"/>
        <v>6.5076167344136574E-4</v>
      </c>
      <c r="I23" s="36">
        <f>IF(B23="","",Analisis!C15)</f>
        <v>1526.1</v>
      </c>
      <c r="J23" s="34">
        <f>IF(B23="","",Analisis!K15)</f>
        <v>0.47072582929195389</v>
      </c>
      <c r="K23" s="34">
        <f t="shared" si="2"/>
        <v>4.2503100602814108</v>
      </c>
      <c r="L23" s="105"/>
      <c r="M23" s="114"/>
      <c r="N23" s="115"/>
      <c r="O23" s="115"/>
      <c r="P23" s="115"/>
      <c r="Q23" s="115"/>
      <c r="R23" s="116"/>
      <c r="S23" s="112">
        <f t="shared" si="5"/>
        <v>2.7850796542044504E-3</v>
      </c>
      <c r="U23" s="93"/>
    </row>
    <row r="24" spans="2:21" ht="15" x14ac:dyDescent="0.2">
      <c r="B24" s="130">
        <f>IF(Analisis!A16="",NA(),Analisis!A16)</f>
        <v>10</v>
      </c>
      <c r="C24" s="127">
        <f t="shared" si="0"/>
        <v>10.04987562112089</v>
      </c>
      <c r="D24" s="35">
        <f t="shared" si="1"/>
        <v>3.5186840265472835E-2</v>
      </c>
      <c r="E24" s="77">
        <f t="shared" si="6"/>
        <v>2.6016036142544677E-3</v>
      </c>
      <c r="F24" s="36">
        <f>IF(B24="","",Analisis!J16)</f>
        <v>382.26057095498822</v>
      </c>
      <c r="G24" s="35">
        <f t="shared" si="3"/>
        <v>7.6892409694128468E-3</v>
      </c>
      <c r="H24" s="77">
        <f t="shared" si="4"/>
        <v>6.5101497969591044E-4</v>
      </c>
      <c r="I24" s="36">
        <f>IF(B24="","",Analisis!C16)</f>
        <v>1527.6</v>
      </c>
      <c r="J24" s="34">
        <f>IF(B24="","",Analisis!K16)</f>
        <v>0.46657523146909224</v>
      </c>
      <c r="K24" s="34">
        <f t="shared" si="2"/>
        <v>3.9962269615818609</v>
      </c>
      <c r="L24" s="105"/>
      <c r="M24" s="114"/>
      <c r="N24" s="115"/>
      <c r="O24" s="115"/>
      <c r="P24" s="115"/>
      <c r="Q24" s="115"/>
      <c r="R24" s="116"/>
      <c r="S24" s="112">
        <f t="shared" si="5"/>
        <v>2.6160166022400244E-3</v>
      </c>
      <c r="U24" s="93"/>
    </row>
    <row r="25" spans="2:21" ht="15" x14ac:dyDescent="0.2">
      <c r="B25" s="130">
        <f>IF(Analisis!A17="",NA(),Analisis!A17)</f>
        <v>11</v>
      </c>
      <c r="C25" s="127">
        <f t="shared" si="0"/>
        <v>11.045361017187261</v>
      </c>
      <c r="D25" s="35">
        <f t="shared" si="1"/>
        <v>3.7369699205867191E-2</v>
      </c>
      <c r="E25" s="77">
        <f t="shared" si="6"/>
        <v>2.1828589403943555E-3</v>
      </c>
      <c r="F25" s="36">
        <f>IF(B25="","",Analisis!J17)</f>
        <v>456.04659909289717</v>
      </c>
      <c r="G25" s="35">
        <f t="shared" si="3"/>
        <v>8.3404383240712962E-3</v>
      </c>
      <c r="H25" s="77">
        <f t="shared" si="4"/>
        <v>6.5119735465844937E-4</v>
      </c>
      <c r="I25" s="36">
        <f>IF(B25="","",Analisis!C17)</f>
        <v>1528.7</v>
      </c>
      <c r="J25" s="34">
        <f>IF(B25="","",Analisis!K17)</f>
        <v>0.45117010207560787</v>
      </c>
      <c r="K25" s="34">
        <f t="shared" si="2"/>
        <v>3.3520697293668498</v>
      </c>
      <c r="L25" s="105"/>
      <c r="M25" s="114"/>
      <c r="N25" s="115"/>
      <c r="O25" s="115"/>
      <c r="P25" s="115"/>
      <c r="Q25" s="115"/>
      <c r="R25" s="116"/>
      <c r="S25" s="112">
        <f t="shared" si="5"/>
        <v>2.1927583759840711E-3</v>
      </c>
      <c r="U25" s="93"/>
    </row>
    <row r="26" spans="2:21" ht="15" x14ac:dyDescent="0.2">
      <c r="B26" s="130">
        <f>IF(Analisis!A18="",NA(),Analisis!A18)</f>
        <v>12</v>
      </c>
      <c r="C26" s="127">
        <f t="shared" si="0"/>
        <v>12.041594578792296</v>
      </c>
      <c r="D26" s="35">
        <f t="shared" si="1"/>
        <v>3.9448115649098246E-2</v>
      </c>
      <c r="E26" s="77">
        <f t="shared" si="6"/>
        <v>2.0784164432310556E-3</v>
      </c>
      <c r="F26" s="36">
        <f>IF(B26="","",Analisis!J18)</f>
        <v>479.32336411672759</v>
      </c>
      <c r="G26" s="35">
        <f t="shared" si="3"/>
        <v>8.9917842290108407E-3</v>
      </c>
      <c r="H26" s="77">
        <f t="shared" si="4"/>
        <v>6.5134590493954453E-4</v>
      </c>
      <c r="I26" s="36">
        <f>IF(B26="","",Analisis!C18)</f>
        <v>1529.5</v>
      </c>
      <c r="J26" s="34">
        <f>IF(B26="","",Analisis!K18)</f>
        <v>0.44555442764564118</v>
      </c>
      <c r="K26" s="34">
        <f t="shared" si="2"/>
        <v>3.1909564909661432</v>
      </c>
      <c r="L26" s="105"/>
      <c r="M26" s="114"/>
      <c r="N26" s="115"/>
      <c r="O26" s="115"/>
      <c r="P26" s="115"/>
      <c r="Q26" s="115"/>
      <c r="R26" s="116"/>
      <c r="S26" s="112">
        <f t="shared" si="5"/>
        <v>2.0862742667317052E-3</v>
      </c>
      <c r="U26" s="93"/>
    </row>
    <row r="27" spans="2:21" ht="15" x14ac:dyDescent="0.2">
      <c r="B27" s="130">
        <f>IF(Analisis!A19="",NA(),Analisis!A19)</f>
        <v>13</v>
      </c>
      <c r="C27" s="127">
        <f t="shared" si="0"/>
        <v>13.038404810405298</v>
      </c>
      <c r="D27" s="35">
        <f t="shared" si="1"/>
        <v>4.155477782726795E-2</v>
      </c>
      <c r="E27" s="77">
        <f t="shared" si="6"/>
        <v>2.1066621781697034E-3</v>
      </c>
      <c r="F27" s="36">
        <f>IF(B27="","",Analisis!J19)</f>
        <v>473.17042188465433</v>
      </c>
      <c r="G27" s="35">
        <f t="shared" si="3"/>
        <v>9.6432516047464147E-3</v>
      </c>
      <c r="H27" s="77">
        <f t="shared" si="4"/>
        <v>6.5146737573557392E-4</v>
      </c>
      <c r="I27" s="36">
        <f>IF(B27="","",Analisis!C19)</f>
        <v>1530.1</v>
      </c>
      <c r="J27" s="34">
        <f>IF(B27="","",Analisis!K19)</f>
        <v>0.44703414100959016</v>
      </c>
      <c r="K27" s="34">
        <f t="shared" si="2"/>
        <v>3.2337186122191621</v>
      </c>
      <c r="L27" s="105"/>
      <c r="M27" s="114"/>
      <c r="N27" s="115"/>
      <c r="O27" s="115"/>
      <c r="P27" s="115"/>
      <c r="Q27" s="115"/>
      <c r="R27" s="116"/>
      <c r="S27" s="112">
        <f t="shared" si="5"/>
        <v>2.1134034456696702E-3</v>
      </c>
      <c r="U27" s="93"/>
    </row>
    <row r="28" spans="2:21" ht="15" x14ac:dyDescent="0.2">
      <c r="B28" s="130">
        <f>IF(Analisis!A20="",NA(),Analisis!A20)</f>
        <v>14</v>
      </c>
      <c r="C28" s="127">
        <f t="shared" si="0"/>
        <v>14.035668847618199</v>
      </c>
      <c r="D28" s="35">
        <f>IF(B28="","",(($C28-$C27)/F28)+D27)</f>
        <v>4.3631332727473902E-2</v>
      </c>
      <c r="E28" s="77">
        <f>IF(B28="","",(D28-D27))</f>
        <v>2.0765549002059527E-3</v>
      </c>
      <c r="F28" s="36">
        <f>IF(B28="","",Analisis!J20)</f>
        <v>480.24929998912711</v>
      </c>
      <c r="G28" s="35">
        <f>IF(B28="","",(($C28-$C27)/I28)+G27)</f>
        <v>1.0294802654800577E-2</v>
      </c>
      <c r="H28" s="77">
        <f>IF(B28="","",(G28-G27))</f>
        <v>6.5155105005416242E-4</v>
      </c>
      <c r="I28" s="36">
        <f>IF(B28="","",Analisis!C20)</f>
        <v>1530.6</v>
      </c>
      <c r="J28" s="34">
        <f>IF(B28="","",Analisis!K20)</f>
        <v>0.44607441262939002</v>
      </c>
      <c r="K28" s="34">
        <f t="shared" si="2"/>
        <v>3.1870947027609469</v>
      </c>
      <c r="L28" s="105"/>
      <c r="M28" s="114"/>
      <c r="N28" s="115"/>
      <c r="O28" s="115"/>
      <c r="P28" s="115"/>
      <c r="Q28" s="115"/>
      <c r="R28" s="116"/>
      <c r="S28" s="112">
        <f t="shared" si="5"/>
        <v>2.0822518638187295E-3</v>
      </c>
      <c r="U28" s="93"/>
    </row>
    <row r="29" spans="2:21" ht="15" x14ac:dyDescent="0.2">
      <c r="B29" s="130" t="e">
        <f>IF(Analisis!A21="",NA(),Analisis!A21)</f>
        <v>#N/A</v>
      </c>
      <c r="C29" s="131" t="e">
        <f t="shared" si="0"/>
        <v>#N/A</v>
      </c>
      <c r="D29" s="132" t="e">
        <f t="shared" ref="D29" si="7">IF(B29="","",(($C29-$C28)/F29)+D28)</f>
        <v>#N/A</v>
      </c>
      <c r="E29" s="133" t="e">
        <f t="shared" ref="E29" si="8">IF(B29="","",(D29-D28))</f>
        <v>#N/A</v>
      </c>
      <c r="F29" s="134" t="e">
        <f>IF(B29="","",Analisis!J21)</f>
        <v>#N/A</v>
      </c>
      <c r="G29" s="132" t="e">
        <f t="shared" ref="G29" si="9">IF(B29="","",(($C29-$C28)/I29)+G28)</f>
        <v>#N/A</v>
      </c>
      <c r="H29" s="133" t="e">
        <f t="shared" ref="H29" si="10">IF(B29="","",(G29-G28))</f>
        <v>#N/A</v>
      </c>
      <c r="I29" s="134" t="e">
        <f>IF(B29="","",Analisis!C21)</f>
        <v>#N/A</v>
      </c>
      <c r="J29" s="135" t="e">
        <f>IF(B29="","",Analisis!K21)</f>
        <v>#N/A</v>
      </c>
      <c r="K29" s="135" t="e">
        <f t="shared" si="2"/>
        <v>#N/A</v>
      </c>
      <c r="L29" s="105"/>
      <c r="M29" s="114"/>
      <c r="N29" s="115"/>
      <c r="O29" s="115"/>
      <c r="P29" s="115"/>
      <c r="Q29" s="115"/>
      <c r="R29" s="116"/>
      <c r="S29" s="112" t="e">
        <f t="shared" si="5"/>
        <v>#N/A</v>
      </c>
      <c r="U29" s="93"/>
    </row>
    <row r="30" spans="2:21" ht="15" x14ac:dyDescent="0.2">
      <c r="B30" s="130"/>
      <c r="C30" s="131"/>
      <c r="D30" s="132"/>
      <c r="E30" s="133"/>
      <c r="F30" s="134"/>
      <c r="G30" s="132"/>
      <c r="H30" s="133"/>
      <c r="I30" s="134"/>
      <c r="J30" s="135"/>
      <c r="K30" s="135"/>
      <c r="L30" s="105"/>
      <c r="M30" s="114"/>
      <c r="N30" s="115"/>
      <c r="O30" s="115"/>
      <c r="P30" s="115"/>
      <c r="Q30" s="115"/>
      <c r="R30" s="116"/>
      <c r="S30" s="112">
        <f t="shared" si="5"/>
        <v>0</v>
      </c>
      <c r="U30" s="93"/>
    </row>
    <row r="31" spans="2:21" ht="15" x14ac:dyDescent="0.2">
      <c r="B31" s="130"/>
      <c r="C31" s="131"/>
      <c r="D31" s="132"/>
      <c r="E31" s="133"/>
      <c r="F31" s="134"/>
      <c r="G31" s="132"/>
      <c r="H31" s="133"/>
      <c r="I31" s="134"/>
      <c r="J31" s="135"/>
      <c r="K31" s="135"/>
      <c r="L31" s="105"/>
      <c r="M31" s="114"/>
      <c r="N31" s="115"/>
      <c r="O31" s="115"/>
      <c r="P31" s="115"/>
      <c r="Q31" s="115"/>
      <c r="R31" s="116"/>
      <c r="S31" s="112">
        <f t="shared" si="5"/>
        <v>0</v>
      </c>
      <c r="U31" s="93"/>
    </row>
    <row r="32" spans="2:21" ht="15" x14ac:dyDescent="0.2">
      <c r="B32" s="130"/>
      <c r="C32" s="131"/>
      <c r="D32" s="132"/>
      <c r="E32" s="133"/>
      <c r="F32" s="134"/>
      <c r="G32" s="132"/>
      <c r="H32" s="133"/>
      <c r="I32" s="134"/>
      <c r="J32" s="135"/>
      <c r="K32" s="135"/>
      <c r="L32" s="105"/>
      <c r="M32" s="114"/>
      <c r="N32" s="115"/>
      <c r="O32" s="115"/>
      <c r="P32" s="115"/>
      <c r="Q32" s="115"/>
      <c r="R32" s="116"/>
      <c r="S32" s="112">
        <f t="shared" si="5"/>
        <v>0</v>
      </c>
      <c r="U32" s="93"/>
    </row>
    <row r="33" spans="2:21" ht="15" x14ac:dyDescent="0.2">
      <c r="B33" s="130"/>
      <c r="C33" s="131"/>
      <c r="D33" s="132"/>
      <c r="E33" s="133"/>
      <c r="F33" s="134"/>
      <c r="G33" s="132"/>
      <c r="H33" s="133"/>
      <c r="I33" s="134"/>
      <c r="J33" s="135"/>
      <c r="K33" s="135"/>
      <c r="L33" s="105"/>
      <c r="M33" s="114"/>
      <c r="N33" s="115"/>
      <c r="O33" s="115"/>
      <c r="P33" s="115"/>
      <c r="Q33" s="115"/>
      <c r="R33" s="116"/>
      <c r="S33" s="112">
        <f t="shared" si="5"/>
        <v>0</v>
      </c>
      <c r="U33" s="93"/>
    </row>
    <row r="34" spans="2:21" ht="15" x14ac:dyDescent="0.2">
      <c r="B34" s="130"/>
      <c r="C34" s="131"/>
      <c r="D34" s="132"/>
      <c r="E34" s="133"/>
      <c r="F34" s="134"/>
      <c r="G34" s="132"/>
      <c r="H34" s="133"/>
      <c r="I34" s="134"/>
      <c r="J34" s="135"/>
      <c r="K34" s="135"/>
      <c r="L34" s="105"/>
      <c r="M34" s="114"/>
      <c r="N34" s="115"/>
      <c r="O34" s="115"/>
      <c r="P34" s="115"/>
      <c r="Q34" s="115"/>
      <c r="R34" s="116"/>
      <c r="S34" s="112">
        <f t="shared" ref="S34:S45" si="11">IF(F34="",0,1/F34)</f>
        <v>0</v>
      </c>
      <c r="U34" s="93"/>
    </row>
    <row r="35" spans="2:21" ht="15" x14ac:dyDescent="0.2">
      <c r="B35" s="130"/>
      <c r="C35" s="131"/>
      <c r="D35" s="132"/>
      <c r="E35" s="133"/>
      <c r="F35" s="134"/>
      <c r="G35" s="132"/>
      <c r="H35" s="133"/>
      <c r="I35" s="134"/>
      <c r="J35" s="135"/>
      <c r="K35" s="135"/>
      <c r="L35" s="105"/>
      <c r="M35" s="114"/>
      <c r="N35" s="115"/>
      <c r="O35" s="115"/>
      <c r="P35" s="115"/>
      <c r="Q35" s="115"/>
      <c r="R35" s="116"/>
      <c r="S35" s="112">
        <f t="shared" si="11"/>
        <v>0</v>
      </c>
      <c r="U35" s="93"/>
    </row>
    <row r="36" spans="2:21" ht="15" x14ac:dyDescent="0.2">
      <c r="B36" s="130"/>
      <c r="C36" s="131"/>
      <c r="D36" s="132"/>
      <c r="E36" s="133"/>
      <c r="F36" s="134"/>
      <c r="G36" s="132"/>
      <c r="H36" s="133"/>
      <c r="I36" s="134"/>
      <c r="J36" s="135"/>
      <c r="K36" s="135"/>
      <c r="L36" s="105"/>
      <c r="M36" s="114"/>
      <c r="N36" s="115"/>
      <c r="O36" s="115"/>
      <c r="P36" s="115"/>
      <c r="Q36" s="115"/>
      <c r="R36" s="116"/>
      <c r="S36" s="112">
        <f t="shared" si="11"/>
        <v>0</v>
      </c>
      <c r="U36" s="119"/>
    </row>
    <row r="37" spans="2:21" ht="15" x14ac:dyDescent="0.2">
      <c r="B37" s="130"/>
      <c r="C37" s="131"/>
      <c r="D37" s="132"/>
      <c r="E37" s="133"/>
      <c r="F37" s="134"/>
      <c r="G37" s="132"/>
      <c r="H37" s="133"/>
      <c r="I37" s="134"/>
      <c r="J37" s="135"/>
      <c r="K37" s="135"/>
      <c r="L37" s="105"/>
      <c r="M37" s="114"/>
      <c r="N37" s="115"/>
      <c r="O37" s="115"/>
      <c r="P37" s="115"/>
      <c r="Q37" s="115"/>
      <c r="R37" s="116"/>
      <c r="S37" s="112">
        <f t="shared" si="11"/>
        <v>0</v>
      </c>
      <c r="U37" s="119"/>
    </row>
    <row r="38" spans="2:21" ht="15" x14ac:dyDescent="0.2">
      <c r="B38" s="130"/>
      <c r="C38" s="131"/>
      <c r="D38" s="132"/>
      <c r="E38" s="133"/>
      <c r="F38" s="134"/>
      <c r="G38" s="132"/>
      <c r="H38" s="133"/>
      <c r="I38" s="134"/>
      <c r="J38" s="135"/>
      <c r="K38" s="135"/>
      <c r="L38" s="105"/>
      <c r="M38" s="114"/>
      <c r="N38" s="115"/>
      <c r="O38" s="115"/>
      <c r="P38" s="115"/>
      <c r="Q38" s="115"/>
      <c r="R38" s="116"/>
      <c r="S38" s="112">
        <f t="shared" si="11"/>
        <v>0</v>
      </c>
      <c r="U38" s="119"/>
    </row>
    <row r="39" spans="2:21" ht="15" x14ac:dyDescent="0.2">
      <c r="B39" s="130"/>
      <c r="C39" s="131"/>
      <c r="D39" s="132"/>
      <c r="E39" s="133"/>
      <c r="F39" s="134"/>
      <c r="G39" s="132"/>
      <c r="H39" s="133"/>
      <c r="I39" s="134"/>
      <c r="J39" s="135"/>
      <c r="K39" s="135"/>
      <c r="L39" s="105"/>
      <c r="M39" s="114"/>
      <c r="N39" s="115"/>
      <c r="O39" s="115"/>
      <c r="P39" s="115"/>
      <c r="Q39" s="115"/>
      <c r="R39" s="116"/>
      <c r="S39" s="112">
        <f t="shared" si="11"/>
        <v>0</v>
      </c>
    </row>
    <row r="40" spans="2:21" ht="15" x14ac:dyDescent="0.2">
      <c r="B40" s="130"/>
      <c r="C40" s="131"/>
      <c r="D40" s="132"/>
      <c r="E40" s="133"/>
      <c r="F40" s="134"/>
      <c r="G40" s="132"/>
      <c r="H40" s="133"/>
      <c r="I40" s="134"/>
      <c r="J40" s="135"/>
      <c r="K40" s="135"/>
      <c r="L40" s="105"/>
      <c r="M40" s="114"/>
      <c r="N40" s="115"/>
      <c r="O40" s="115"/>
      <c r="P40" s="115"/>
      <c r="Q40" s="115"/>
      <c r="R40" s="116"/>
      <c r="S40" s="112">
        <f t="shared" si="11"/>
        <v>0</v>
      </c>
    </row>
    <row r="41" spans="2:21" ht="15" x14ac:dyDescent="0.2">
      <c r="B41" s="130"/>
      <c r="C41" s="131"/>
      <c r="D41" s="132"/>
      <c r="E41" s="133"/>
      <c r="F41" s="134"/>
      <c r="G41" s="132"/>
      <c r="H41" s="133"/>
      <c r="I41" s="134"/>
      <c r="J41" s="135"/>
      <c r="K41" s="135"/>
      <c r="L41" s="105"/>
      <c r="M41" s="114"/>
      <c r="N41" s="115"/>
      <c r="O41" s="115"/>
      <c r="P41" s="115"/>
      <c r="Q41" s="115"/>
      <c r="R41" s="116"/>
      <c r="S41" s="112">
        <f t="shared" si="11"/>
        <v>0</v>
      </c>
    </row>
    <row r="42" spans="2:21" ht="15" x14ac:dyDescent="0.2">
      <c r="B42" s="130"/>
      <c r="C42" s="131"/>
      <c r="D42" s="132"/>
      <c r="E42" s="133"/>
      <c r="F42" s="134"/>
      <c r="G42" s="132"/>
      <c r="H42" s="133"/>
      <c r="I42" s="134"/>
      <c r="J42" s="135"/>
      <c r="K42" s="135"/>
      <c r="L42" s="105"/>
      <c r="M42" s="114"/>
      <c r="N42" s="115"/>
      <c r="O42" s="115"/>
      <c r="P42" s="115"/>
      <c r="Q42" s="115"/>
      <c r="R42" s="116"/>
      <c r="S42" s="112">
        <f t="shared" si="11"/>
        <v>0</v>
      </c>
    </row>
    <row r="43" spans="2:21" ht="15" x14ac:dyDescent="0.2">
      <c r="B43" s="130"/>
      <c r="C43" s="131"/>
      <c r="D43" s="132"/>
      <c r="E43" s="133"/>
      <c r="F43" s="134"/>
      <c r="G43" s="132"/>
      <c r="H43" s="133"/>
      <c r="I43" s="134"/>
      <c r="J43" s="135"/>
      <c r="K43" s="135"/>
      <c r="L43" s="52"/>
      <c r="M43" s="52"/>
      <c r="N43" s="52"/>
      <c r="O43" s="52"/>
      <c r="P43" s="52"/>
      <c r="Q43" s="52"/>
      <c r="R43" s="61"/>
      <c r="S43" s="112">
        <f t="shared" si="11"/>
        <v>0</v>
      </c>
    </row>
    <row r="44" spans="2:21" ht="15" x14ac:dyDescent="0.2">
      <c r="B44" s="130"/>
      <c r="C44" s="131"/>
      <c r="D44" s="132"/>
      <c r="E44" s="133"/>
      <c r="F44" s="134"/>
      <c r="G44" s="132"/>
      <c r="H44" s="133"/>
      <c r="I44" s="134"/>
      <c r="J44" s="135"/>
      <c r="K44" s="135"/>
      <c r="L44" s="52"/>
      <c r="M44" s="52"/>
      <c r="N44" s="52"/>
      <c r="O44" s="52"/>
      <c r="P44" s="52"/>
      <c r="Q44" s="52"/>
      <c r="R44" s="61"/>
      <c r="S44" s="112">
        <f t="shared" si="11"/>
        <v>0</v>
      </c>
    </row>
    <row r="45" spans="2:21" ht="15" x14ac:dyDescent="0.2">
      <c r="B45" s="130"/>
      <c r="C45" s="131"/>
      <c r="D45" s="132"/>
      <c r="E45" s="133"/>
      <c r="F45" s="134"/>
      <c r="G45" s="132"/>
      <c r="H45" s="133"/>
      <c r="I45" s="134"/>
      <c r="J45" s="135"/>
      <c r="K45" s="135"/>
      <c r="L45" s="52"/>
      <c r="M45" s="52"/>
      <c r="N45" s="52"/>
      <c r="O45" s="52"/>
      <c r="P45" s="52"/>
      <c r="Q45" s="52"/>
      <c r="R45" s="61"/>
      <c r="S45" s="112">
        <f t="shared" si="11"/>
        <v>0</v>
      </c>
    </row>
    <row r="46" spans="2:21" ht="15" x14ac:dyDescent="0.2">
      <c r="B46" s="130"/>
      <c r="C46" s="131"/>
      <c r="D46" s="132"/>
      <c r="E46" s="133"/>
      <c r="F46" s="134"/>
      <c r="G46" s="132"/>
      <c r="H46" s="133"/>
      <c r="I46" s="134"/>
      <c r="J46" s="135"/>
      <c r="K46" s="135"/>
      <c r="L46" s="52"/>
      <c r="M46" s="52"/>
      <c r="N46" s="52"/>
      <c r="O46" s="52"/>
      <c r="P46" s="52"/>
      <c r="Q46" s="52"/>
      <c r="R46" s="61"/>
      <c r="S46" s="112"/>
    </row>
    <row r="47" spans="2:21" ht="15" x14ac:dyDescent="0.2">
      <c r="B47" s="130"/>
      <c r="C47" s="131"/>
      <c r="D47" s="132"/>
      <c r="E47" s="133"/>
      <c r="F47" s="134"/>
      <c r="G47" s="132"/>
      <c r="H47" s="133"/>
      <c r="I47" s="134"/>
      <c r="J47" s="135"/>
      <c r="K47" s="135"/>
      <c r="L47" s="52"/>
      <c r="M47" s="52"/>
      <c r="N47" s="52"/>
      <c r="O47" s="52"/>
      <c r="P47" s="52"/>
      <c r="Q47" s="52"/>
      <c r="R47" s="61"/>
      <c r="S47" s="112"/>
    </row>
    <row r="48" spans="2:21" ht="15" x14ac:dyDescent="0.2">
      <c r="B48" s="130"/>
      <c r="C48" s="131"/>
      <c r="D48" s="132"/>
      <c r="E48" s="133"/>
      <c r="F48" s="134"/>
      <c r="G48" s="132"/>
      <c r="H48" s="133"/>
      <c r="I48" s="134"/>
      <c r="J48" s="135"/>
      <c r="K48" s="135"/>
      <c r="L48" s="52"/>
      <c r="M48" s="52"/>
      <c r="N48" s="52"/>
      <c r="O48" s="52"/>
      <c r="P48" s="52"/>
      <c r="Q48" s="52"/>
      <c r="R48" s="61"/>
      <c r="S48" s="112"/>
    </row>
    <row r="49" spans="2:20" ht="15" x14ac:dyDescent="0.2">
      <c r="B49" s="130"/>
      <c r="C49" s="131"/>
      <c r="D49" s="132"/>
      <c r="E49" s="133"/>
      <c r="F49" s="134"/>
      <c r="G49" s="132"/>
      <c r="H49" s="133"/>
      <c r="I49" s="134"/>
      <c r="J49" s="135"/>
      <c r="K49" s="135"/>
      <c r="L49" s="52"/>
      <c r="M49" s="52"/>
      <c r="N49" s="52"/>
      <c r="O49" s="52"/>
      <c r="P49" s="52"/>
      <c r="Q49" s="52"/>
      <c r="R49" s="61"/>
      <c r="S49" s="112"/>
    </row>
    <row r="50" spans="2:20" ht="15" x14ac:dyDescent="0.2">
      <c r="B50" s="136"/>
      <c r="C50" s="137"/>
      <c r="D50" s="138"/>
      <c r="E50" s="139"/>
      <c r="F50" s="140"/>
      <c r="G50" s="138"/>
      <c r="H50" s="139"/>
      <c r="I50" s="140"/>
      <c r="J50" s="141"/>
      <c r="K50" s="141"/>
      <c r="L50" s="52"/>
      <c r="M50" s="52"/>
      <c r="N50" s="52"/>
      <c r="O50" s="52"/>
      <c r="P50" s="52"/>
      <c r="Q50" s="52"/>
      <c r="R50" s="61"/>
      <c r="S50" s="112"/>
    </row>
    <row r="51" spans="2:20" ht="15" x14ac:dyDescent="0.2">
      <c r="B51" s="67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61"/>
      <c r="S51" s="112"/>
    </row>
    <row r="52" spans="2:20" ht="15" x14ac:dyDescent="0.2">
      <c r="B52" s="67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61"/>
      <c r="S52" s="112"/>
    </row>
    <row r="53" spans="2:20" ht="15" x14ac:dyDescent="0.2">
      <c r="B53" s="67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61"/>
      <c r="S53" s="112"/>
    </row>
    <row r="54" spans="2:20" ht="15" x14ac:dyDescent="0.2">
      <c r="B54" s="67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61"/>
      <c r="S54" s="112"/>
    </row>
    <row r="55" spans="2:20" ht="15" x14ac:dyDescent="0.2">
      <c r="B55" s="67"/>
      <c r="C55" s="53"/>
      <c r="D55" s="54"/>
      <c r="E55" s="55"/>
      <c r="F55" s="56"/>
      <c r="G55" s="54"/>
      <c r="H55" s="55"/>
      <c r="I55" s="56"/>
      <c r="J55" s="53"/>
      <c r="K55" s="52"/>
      <c r="L55" s="52"/>
      <c r="M55" s="52"/>
      <c r="N55" s="52"/>
      <c r="O55" s="52"/>
      <c r="P55" s="52"/>
      <c r="Q55" s="52"/>
      <c r="R55" s="61"/>
      <c r="S55" s="112"/>
    </row>
    <row r="56" spans="2:20" ht="15" x14ac:dyDescent="0.2">
      <c r="B56" s="95"/>
      <c r="C56" s="120"/>
      <c r="D56" s="121"/>
      <c r="E56" s="121"/>
      <c r="F56" s="119"/>
      <c r="G56" s="119"/>
      <c r="H56" s="119"/>
      <c r="I56" s="119"/>
      <c r="J56" s="119"/>
      <c r="K56" s="52"/>
      <c r="L56" s="52"/>
      <c r="M56" s="52"/>
      <c r="N56" s="52"/>
      <c r="O56" s="52"/>
      <c r="P56" s="52"/>
      <c r="Q56" s="52"/>
      <c r="R56" s="61"/>
    </row>
    <row r="57" spans="2:20" x14ac:dyDescent="0.2">
      <c r="B57" s="95"/>
      <c r="R57" s="96"/>
    </row>
    <row r="58" spans="2:20" ht="15.75" x14ac:dyDescent="0.25">
      <c r="B58" s="73" t="s">
        <v>59</v>
      </c>
      <c r="R58" s="96"/>
    </row>
    <row r="59" spans="2:20" x14ac:dyDescent="0.2">
      <c r="B59" s="95"/>
      <c r="R59" s="96"/>
    </row>
    <row r="60" spans="2:20" ht="15.75" x14ac:dyDescent="0.25">
      <c r="B60" s="122"/>
      <c r="C60" s="74" t="s">
        <v>28</v>
      </c>
      <c r="D60" s="106"/>
      <c r="E60" s="106"/>
      <c r="F60" s="106"/>
      <c r="G60" s="106"/>
      <c r="H60" s="106"/>
      <c r="I60" s="106"/>
      <c r="J60" s="106"/>
      <c r="K60" s="106"/>
      <c r="L60" s="106"/>
      <c r="M60" s="123"/>
      <c r="N60" s="123"/>
      <c r="O60" s="123"/>
      <c r="P60" s="123"/>
      <c r="Q60" s="123"/>
      <c r="R60" s="124"/>
    </row>
    <row r="61" spans="2:20" ht="15" thickBot="1" x14ac:dyDescent="0.25">
      <c r="B61" s="88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90"/>
      <c r="N61" s="90"/>
      <c r="O61" s="90"/>
      <c r="P61" s="90"/>
      <c r="Q61" s="90"/>
      <c r="R61" s="91"/>
    </row>
    <row r="62" spans="2:20" x14ac:dyDescent="0.2">
      <c r="B62" s="95"/>
      <c r="R62" s="96"/>
      <c r="S62" s="92"/>
    </row>
    <row r="63" spans="2:20" x14ac:dyDescent="0.2">
      <c r="B63" s="95"/>
      <c r="R63" s="96"/>
    </row>
    <row r="64" spans="2:20" ht="26.25" x14ac:dyDescent="0.2">
      <c r="B64" s="95"/>
      <c r="E64" s="163" t="s">
        <v>12</v>
      </c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97"/>
      <c r="Q64" s="97"/>
      <c r="R64" s="98"/>
      <c r="S64" s="97"/>
      <c r="T64" s="99"/>
    </row>
    <row r="65" spans="2:23" x14ac:dyDescent="0.2">
      <c r="B65" s="95"/>
      <c r="R65" s="96"/>
    </row>
    <row r="66" spans="2:23" ht="15" x14ac:dyDescent="0.25">
      <c r="B66" s="95"/>
      <c r="C66" s="164" t="s">
        <v>58</v>
      </c>
      <c r="D66" s="165"/>
      <c r="E66" s="165"/>
      <c r="R66" s="102"/>
    </row>
    <row r="67" spans="2:23" ht="15" x14ac:dyDescent="0.25">
      <c r="B67" s="95"/>
      <c r="C67" s="100"/>
      <c r="D67" s="101"/>
      <c r="E67" s="101"/>
      <c r="R67" s="102"/>
    </row>
    <row r="68" spans="2:23" ht="15.75" customHeight="1" x14ac:dyDescent="0.2">
      <c r="B68" s="69" t="s">
        <v>13</v>
      </c>
      <c r="C68" s="166" t="str">
        <f>+C7</f>
        <v xml:space="preserve">1130-01 Vertimientos 5 y 6 Campo Rubiales </v>
      </c>
      <c r="D68" s="166"/>
      <c r="E68" s="166"/>
      <c r="F68" s="166"/>
      <c r="G68" s="80"/>
      <c r="M68" s="162" t="s">
        <v>56</v>
      </c>
      <c r="N68" s="162"/>
      <c r="O68" s="162"/>
      <c r="P68" s="162"/>
      <c r="Q68" s="125">
        <f>+Q7</f>
        <v>45603</v>
      </c>
      <c r="R68" s="103"/>
    </row>
    <row r="69" spans="2:23" ht="15.75" x14ac:dyDescent="0.25">
      <c r="B69" s="69" t="s">
        <v>15</v>
      </c>
      <c r="C69" s="157" t="str">
        <f>+C8</f>
        <v>Seringtec</v>
      </c>
      <c r="D69" s="157"/>
      <c r="E69" s="157"/>
      <c r="F69" s="81"/>
      <c r="G69" s="81"/>
      <c r="R69" s="70"/>
      <c r="S69" s="13"/>
      <c r="T69" s="14"/>
    </row>
    <row r="70" spans="2:23" ht="31.5" customHeight="1" x14ac:dyDescent="0.25">
      <c r="B70" s="104" t="s">
        <v>66</v>
      </c>
      <c r="D70" s="87" t="str">
        <f>+D9</f>
        <v>1130-01</v>
      </c>
      <c r="E70" s="87"/>
      <c r="F70" s="87"/>
      <c r="G70" s="105"/>
      <c r="M70" s="162" t="s">
        <v>57</v>
      </c>
      <c r="N70" s="162"/>
      <c r="O70" s="162"/>
      <c r="P70" s="162"/>
      <c r="Q70" s="82">
        <f>+Q9</f>
        <v>15</v>
      </c>
      <c r="R70" s="71"/>
      <c r="S70" s="15"/>
      <c r="T70" s="16"/>
    </row>
    <row r="71" spans="2:23" ht="15.75" x14ac:dyDescent="0.25">
      <c r="B71" s="72" t="s">
        <v>16</v>
      </c>
      <c r="C71" s="157" t="str">
        <f>+C10</f>
        <v>JS/AR</v>
      </c>
      <c r="D71" s="157"/>
      <c r="E71" s="157"/>
      <c r="F71" s="83"/>
      <c r="G71" s="83"/>
      <c r="M71" s="162" t="s">
        <v>14</v>
      </c>
      <c r="N71" s="162"/>
      <c r="O71" s="162"/>
      <c r="P71" s="162"/>
      <c r="Q71" s="80">
        <f>+Q10</f>
        <v>1</v>
      </c>
      <c r="R71" s="71"/>
      <c r="S71" s="15"/>
      <c r="T71" s="16"/>
    </row>
    <row r="72" spans="2:23" ht="15.75" x14ac:dyDescent="0.25">
      <c r="B72" s="84" t="s">
        <v>55</v>
      </c>
      <c r="C72" s="158" t="str">
        <f>+C11</f>
        <v>JJ</v>
      </c>
      <c r="D72" s="158"/>
      <c r="E72" s="158"/>
      <c r="F72" s="85"/>
      <c r="G72" s="85"/>
      <c r="H72" s="106"/>
      <c r="I72" s="106"/>
      <c r="J72" s="106"/>
      <c r="K72" s="106"/>
      <c r="L72" s="106"/>
      <c r="M72" s="85"/>
      <c r="N72" s="85"/>
      <c r="O72" s="85"/>
      <c r="P72" s="85"/>
      <c r="Q72" s="85"/>
      <c r="R72" s="86"/>
      <c r="S72" s="15"/>
      <c r="T72" s="16"/>
    </row>
    <row r="73" spans="2:23" ht="18" x14ac:dyDescent="0.25">
      <c r="B73" s="159" t="s">
        <v>68</v>
      </c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1"/>
    </row>
    <row r="74" spans="2:23" ht="81.75" customHeight="1" x14ac:dyDescent="0.2">
      <c r="B74" s="64"/>
      <c r="C74" s="65"/>
      <c r="D74" s="65"/>
      <c r="E74" s="65"/>
      <c r="F74" s="65"/>
      <c r="G74" s="65"/>
      <c r="H74" s="65"/>
      <c r="I74" s="65"/>
      <c r="J74" s="65"/>
      <c r="K74" s="65"/>
      <c r="L74" s="147"/>
      <c r="M74" s="147"/>
      <c r="N74" s="147"/>
      <c r="O74" s="147"/>
      <c r="P74" s="147"/>
      <c r="Q74" s="147"/>
      <c r="R74" s="148"/>
    </row>
    <row r="75" spans="2:23" ht="15.75" x14ac:dyDescent="0.25">
      <c r="B75" s="66"/>
      <c r="C75" s="37"/>
      <c r="D75" s="37"/>
      <c r="E75" s="37"/>
      <c r="F75" s="37"/>
      <c r="G75" s="37"/>
      <c r="H75" s="37"/>
      <c r="I75" s="37"/>
      <c r="J75" s="37"/>
      <c r="K75" s="37"/>
      <c r="L75" s="149"/>
      <c r="M75" s="149"/>
      <c r="N75" s="149"/>
      <c r="O75" s="149"/>
      <c r="P75" s="149"/>
      <c r="Q75" s="149"/>
      <c r="R75" s="150"/>
      <c r="S75" s="37"/>
      <c r="V75" s="107"/>
      <c r="W75" s="93"/>
    </row>
    <row r="76" spans="2:23" ht="15.75" x14ac:dyDescent="0.25">
      <c r="B76" s="67"/>
      <c r="C76" s="53"/>
      <c r="D76" s="54"/>
      <c r="E76" s="55"/>
      <c r="F76" s="56"/>
      <c r="G76" s="54"/>
      <c r="H76" s="54"/>
      <c r="I76" s="56"/>
      <c r="J76" s="53"/>
      <c r="K76" s="53"/>
      <c r="L76" s="105"/>
      <c r="M76" s="114"/>
      <c r="N76" s="115"/>
      <c r="O76" s="115"/>
      <c r="P76" s="115"/>
      <c r="Q76" s="115"/>
      <c r="R76" s="116"/>
      <c r="S76" s="112"/>
      <c r="V76" s="107"/>
      <c r="W76" s="113"/>
    </row>
    <row r="77" spans="2:23" ht="15.75" x14ac:dyDescent="0.25">
      <c r="B77" s="67"/>
      <c r="C77" s="53"/>
      <c r="D77" s="54"/>
      <c r="E77" s="55"/>
      <c r="F77" s="56"/>
      <c r="G77" s="54"/>
      <c r="H77" s="55"/>
      <c r="I77" s="56"/>
      <c r="J77" s="53"/>
      <c r="K77" s="53"/>
      <c r="L77" s="105"/>
      <c r="M77" s="114"/>
      <c r="N77" s="115"/>
      <c r="O77" s="115"/>
      <c r="P77" s="115"/>
      <c r="Q77" s="115"/>
      <c r="R77" s="116"/>
      <c r="S77" s="112"/>
      <c r="V77" s="19"/>
      <c r="W77" s="117"/>
    </row>
    <row r="78" spans="2:23" ht="15" x14ac:dyDescent="0.2">
      <c r="B78" s="67"/>
      <c r="C78" s="53"/>
      <c r="D78" s="54"/>
      <c r="E78" s="55"/>
      <c r="F78" s="56"/>
      <c r="G78" s="54"/>
      <c r="H78" s="55"/>
      <c r="I78" s="56"/>
      <c r="J78" s="53"/>
      <c r="K78" s="53"/>
      <c r="L78" s="105"/>
      <c r="M78" s="114"/>
      <c r="N78" s="115"/>
      <c r="O78" s="115"/>
      <c r="P78" s="115"/>
      <c r="Q78" s="115"/>
      <c r="R78" s="116"/>
      <c r="S78" s="112"/>
      <c r="U78" s="118"/>
    </row>
    <row r="79" spans="2:23" ht="15" x14ac:dyDescent="0.2">
      <c r="B79" s="67"/>
      <c r="C79" s="53"/>
      <c r="D79" s="54"/>
      <c r="E79" s="55"/>
      <c r="F79" s="56"/>
      <c r="G79" s="54"/>
      <c r="H79" s="55"/>
      <c r="I79" s="56"/>
      <c r="J79" s="53"/>
      <c r="K79" s="53"/>
      <c r="L79" s="105"/>
      <c r="M79" s="114"/>
      <c r="N79" s="115"/>
      <c r="O79" s="115"/>
      <c r="P79" s="115"/>
      <c r="Q79" s="115"/>
      <c r="R79" s="116"/>
      <c r="S79" s="112"/>
    </row>
    <row r="80" spans="2:23" ht="15" x14ac:dyDescent="0.2">
      <c r="B80" s="67"/>
      <c r="C80" s="53"/>
      <c r="D80" s="54"/>
      <c r="E80" s="55"/>
      <c r="F80" s="56"/>
      <c r="G80" s="54"/>
      <c r="H80" s="55"/>
      <c r="I80" s="56"/>
      <c r="J80" s="53"/>
      <c r="K80" s="53"/>
      <c r="L80" s="105"/>
      <c r="M80" s="114"/>
      <c r="N80" s="115"/>
      <c r="O80" s="115"/>
      <c r="P80" s="115"/>
      <c r="Q80" s="115"/>
      <c r="R80" s="116"/>
      <c r="S80" s="112"/>
    </row>
    <row r="81" spans="2:21" ht="15" x14ac:dyDescent="0.2">
      <c r="B81" s="67"/>
      <c r="C81" s="53"/>
      <c r="D81" s="54"/>
      <c r="E81" s="55"/>
      <c r="F81" s="56"/>
      <c r="G81" s="54"/>
      <c r="H81" s="55"/>
      <c r="I81" s="56"/>
      <c r="J81" s="53"/>
      <c r="K81" s="53"/>
      <c r="L81" s="105"/>
      <c r="M81" s="114"/>
      <c r="N81" s="115"/>
      <c r="O81" s="115"/>
      <c r="P81" s="115"/>
      <c r="Q81" s="115"/>
      <c r="R81" s="116"/>
      <c r="S81" s="112"/>
      <c r="U81" s="118"/>
    </row>
    <row r="82" spans="2:21" ht="15" x14ac:dyDescent="0.2">
      <c r="B82" s="67"/>
      <c r="C82" s="53"/>
      <c r="D82" s="54"/>
      <c r="E82" s="55"/>
      <c r="F82" s="56"/>
      <c r="G82" s="54"/>
      <c r="H82" s="55"/>
      <c r="I82" s="56"/>
      <c r="J82" s="53"/>
      <c r="K82" s="53"/>
      <c r="L82" s="105"/>
      <c r="M82" s="114"/>
      <c r="N82" s="115"/>
      <c r="O82" s="115"/>
      <c r="P82" s="115"/>
      <c r="Q82" s="115"/>
      <c r="R82" s="116"/>
      <c r="S82" s="112"/>
      <c r="U82" s="93"/>
    </row>
    <row r="83" spans="2:21" ht="15" x14ac:dyDescent="0.2">
      <c r="B83" s="67"/>
      <c r="C83" s="53"/>
      <c r="D83" s="54"/>
      <c r="E83" s="55"/>
      <c r="F83" s="56"/>
      <c r="G83" s="54"/>
      <c r="H83" s="55"/>
      <c r="I83" s="56"/>
      <c r="J83" s="53"/>
      <c r="K83" s="53"/>
      <c r="L83" s="105"/>
      <c r="M83" s="114"/>
      <c r="N83" s="115"/>
      <c r="O83" s="115"/>
      <c r="P83" s="115"/>
      <c r="Q83" s="115"/>
      <c r="R83" s="116"/>
      <c r="S83" s="112"/>
      <c r="U83" s="93"/>
    </row>
    <row r="84" spans="2:21" ht="15" x14ac:dyDescent="0.2">
      <c r="B84" s="67"/>
      <c r="C84" s="53"/>
      <c r="D84" s="54"/>
      <c r="E84" s="55"/>
      <c r="F84" s="56"/>
      <c r="G84" s="54"/>
      <c r="H84" s="55"/>
      <c r="I84" s="56"/>
      <c r="J84" s="53"/>
      <c r="K84" s="53"/>
      <c r="L84" s="105"/>
      <c r="M84" s="114"/>
      <c r="N84" s="115"/>
      <c r="O84" s="115"/>
      <c r="P84" s="115"/>
      <c r="Q84" s="115"/>
      <c r="R84" s="116"/>
      <c r="S84" s="112"/>
      <c r="U84" s="93"/>
    </row>
    <row r="85" spans="2:21" ht="15" x14ac:dyDescent="0.2">
      <c r="B85" s="67"/>
      <c r="C85" s="53"/>
      <c r="D85" s="54"/>
      <c r="E85" s="55"/>
      <c r="F85" s="56"/>
      <c r="G85" s="54"/>
      <c r="H85" s="55"/>
      <c r="I85" s="56"/>
      <c r="J85" s="53"/>
      <c r="K85" s="53"/>
      <c r="L85" s="105"/>
      <c r="M85" s="114"/>
      <c r="N85" s="115"/>
      <c r="O85" s="115"/>
      <c r="P85" s="115"/>
      <c r="Q85" s="115"/>
      <c r="R85" s="116"/>
      <c r="S85" s="112"/>
      <c r="U85" s="93"/>
    </row>
    <row r="86" spans="2:21" ht="15" x14ac:dyDescent="0.2">
      <c r="B86" s="67"/>
      <c r="C86" s="53"/>
      <c r="D86" s="54"/>
      <c r="E86" s="55"/>
      <c r="F86" s="56"/>
      <c r="G86" s="54"/>
      <c r="H86" s="55"/>
      <c r="I86" s="56"/>
      <c r="J86" s="53"/>
      <c r="K86" s="53"/>
      <c r="L86" s="105"/>
      <c r="M86" s="114"/>
      <c r="N86" s="115"/>
      <c r="O86" s="115"/>
      <c r="P86" s="115"/>
      <c r="Q86" s="115"/>
      <c r="R86" s="116"/>
      <c r="S86" s="112"/>
      <c r="U86" s="93"/>
    </row>
    <row r="87" spans="2:21" ht="15" x14ac:dyDescent="0.2">
      <c r="B87" s="67"/>
      <c r="C87" s="53"/>
      <c r="D87" s="54"/>
      <c r="E87" s="55"/>
      <c r="F87" s="56"/>
      <c r="G87" s="54"/>
      <c r="H87" s="55"/>
      <c r="I87" s="56"/>
      <c r="J87" s="53"/>
      <c r="K87" s="53"/>
      <c r="L87" s="105"/>
      <c r="M87" s="114"/>
      <c r="N87" s="115"/>
      <c r="O87" s="115"/>
      <c r="P87" s="115"/>
      <c r="Q87" s="115"/>
      <c r="R87" s="116"/>
      <c r="S87" s="112"/>
      <c r="U87" s="93"/>
    </row>
    <row r="88" spans="2:21" ht="15" x14ac:dyDescent="0.2">
      <c r="B88" s="67"/>
      <c r="C88" s="53"/>
      <c r="D88" s="54"/>
      <c r="E88" s="55"/>
      <c r="F88" s="56"/>
      <c r="G88" s="54"/>
      <c r="H88" s="55"/>
      <c r="I88" s="56"/>
      <c r="J88" s="53"/>
      <c r="K88" s="53"/>
      <c r="L88" s="105"/>
      <c r="M88" s="114"/>
      <c r="N88" s="115"/>
      <c r="O88" s="115"/>
      <c r="P88" s="115"/>
      <c r="Q88" s="115"/>
      <c r="R88" s="116"/>
      <c r="S88" s="112"/>
      <c r="U88" s="93"/>
    </row>
    <row r="89" spans="2:21" ht="15" x14ac:dyDescent="0.2">
      <c r="B89" s="67"/>
      <c r="C89" s="53"/>
      <c r="D89" s="54"/>
      <c r="E89" s="55"/>
      <c r="F89" s="56"/>
      <c r="G89" s="54"/>
      <c r="H89" s="55"/>
      <c r="I89" s="56"/>
      <c r="J89" s="53"/>
      <c r="K89" s="53"/>
      <c r="L89" s="105"/>
      <c r="M89" s="114"/>
      <c r="N89" s="115"/>
      <c r="O89" s="115"/>
      <c r="P89" s="115"/>
      <c r="Q89" s="115"/>
      <c r="R89" s="116"/>
      <c r="S89" s="112"/>
      <c r="U89" s="93"/>
    </row>
    <row r="90" spans="2:21" ht="15" x14ac:dyDescent="0.2">
      <c r="B90" s="67"/>
      <c r="C90" s="53"/>
      <c r="D90" s="54"/>
      <c r="E90" s="55"/>
      <c r="F90" s="56"/>
      <c r="G90" s="54"/>
      <c r="H90" s="55"/>
      <c r="I90" s="56"/>
      <c r="J90" s="53"/>
      <c r="K90" s="53"/>
      <c r="L90" s="105"/>
      <c r="M90" s="114"/>
      <c r="N90" s="115"/>
      <c r="O90" s="115"/>
      <c r="P90" s="115"/>
      <c r="Q90" s="115"/>
      <c r="R90" s="116"/>
      <c r="S90" s="112"/>
      <c r="U90" s="93"/>
    </row>
    <row r="91" spans="2:21" ht="15" x14ac:dyDescent="0.2">
      <c r="B91" s="67"/>
      <c r="C91" s="53"/>
      <c r="D91" s="54"/>
      <c r="E91" s="55"/>
      <c r="F91" s="56"/>
      <c r="G91" s="54"/>
      <c r="H91" s="55"/>
      <c r="I91" s="56"/>
      <c r="J91" s="53"/>
      <c r="K91" s="53"/>
      <c r="L91" s="105"/>
      <c r="M91" s="114"/>
      <c r="N91" s="115"/>
      <c r="O91" s="115"/>
      <c r="P91" s="115"/>
      <c r="Q91" s="115"/>
      <c r="R91" s="116"/>
      <c r="S91" s="112"/>
      <c r="U91" s="93"/>
    </row>
    <row r="92" spans="2:21" ht="15" x14ac:dyDescent="0.2">
      <c r="B92" s="67"/>
      <c r="C92" s="53"/>
      <c r="D92" s="54"/>
      <c r="E92" s="55"/>
      <c r="F92" s="56"/>
      <c r="G92" s="54"/>
      <c r="H92" s="55"/>
      <c r="I92" s="56"/>
      <c r="J92" s="53"/>
      <c r="K92" s="53"/>
      <c r="L92" s="105"/>
      <c r="M92" s="114"/>
      <c r="N92" s="115"/>
      <c r="O92" s="115"/>
      <c r="P92" s="115"/>
      <c r="Q92" s="115"/>
      <c r="R92" s="116"/>
      <c r="S92" s="112"/>
      <c r="U92" s="93"/>
    </row>
    <row r="93" spans="2:21" ht="15" x14ac:dyDescent="0.2">
      <c r="B93" s="67"/>
      <c r="C93" s="53"/>
      <c r="D93" s="54"/>
      <c r="E93" s="55"/>
      <c r="F93" s="56"/>
      <c r="G93" s="54"/>
      <c r="H93" s="55"/>
      <c r="I93" s="56"/>
      <c r="J93" s="53"/>
      <c r="K93" s="53"/>
      <c r="L93" s="105"/>
      <c r="M93" s="114"/>
      <c r="N93" s="115"/>
      <c r="O93" s="115"/>
      <c r="P93" s="115"/>
      <c r="Q93" s="115"/>
      <c r="R93" s="116"/>
      <c r="S93" s="112"/>
      <c r="U93" s="93"/>
    </row>
    <row r="94" spans="2:21" ht="15" x14ac:dyDescent="0.2">
      <c r="B94" s="67"/>
      <c r="C94" s="53"/>
      <c r="D94" s="54"/>
      <c r="E94" s="55"/>
      <c r="F94" s="56"/>
      <c r="G94" s="54"/>
      <c r="H94" s="55"/>
      <c r="I94" s="56"/>
      <c r="J94" s="53"/>
      <c r="K94" s="53"/>
      <c r="L94" s="105"/>
      <c r="M94" s="114"/>
      <c r="N94" s="115"/>
      <c r="O94" s="115"/>
      <c r="P94" s="115"/>
      <c r="Q94" s="115"/>
      <c r="R94" s="116"/>
      <c r="S94" s="112"/>
    </row>
    <row r="95" spans="2:21" ht="15" x14ac:dyDescent="0.2">
      <c r="B95" s="67"/>
      <c r="C95" s="53"/>
      <c r="D95" s="54"/>
      <c r="E95" s="55"/>
      <c r="F95" s="56"/>
      <c r="G95" s="54"/>
      <c r="H95" s="55"/>
      <c r="I95" s="56"/>
      <c r="J95" s="53"/>
      <c r="K95" s="53"/>
      <c r="L95" s="105"/>
      <c r="M95" s="114"/>
      <c r="N95" s="115"/>
      <c r="O95" s="115"/>
      <c r="P95" s="115"/>
      <c r="Q95" s="115"/>
      <c r="R95" s="116"/>
      <c r="S95" s="112"/>
    </row>
    <row r="96" spans="2:21" ht="15" x14ac:dyDescent="0.2">
      <c r="B96" s="67"/>
      <c r="C96" s="53"/>
      <c r="D96" s="54"/>
      <c r="E96" s="55"/>
      <c r="F96" s="56"/>
      <c r="G96" s="54"/>
      <c r="H96" s="55"/>
      <c r="I96" s="56"/>
      <c r="J96" s="53"/>
      <c r="K96" s="53"/>
      <c r="L96" s="52"/>
      <c r="M96" s="52"/>
      <c r="N96" s="52"/>
      <c r="O96" s="52"/>
      <c r="P96" s="52"/>
      <c r="Q96" s="52"/>
      <c r="R96" s="61"/>
      <c r="S96" s="112"/>
    </row>
    <row r="97" spans="2:19" ht="15.75" customHeight="1" x14ac:dyDescent="0.2">
      <c r="B97" s="151"/>
      <c r="C97" s="152"/>
      <c r="D97" s="152"/>
      <c r="E97" s="152"/>
      <c r="F97" s="152"/>
      <c r="G97" s="152"/>
      <c r="H97" s="152"/>
      <c r="I97" s="152"/>
      <c r="J97" s="152"/>
      <c r="K97" s="152"/>
      <c r="L97" s="152"/>
      <c r="M97" s="152"/>
      <c r="N97" s="152"/>
      <c r="O97" s="152"/>
      <c r="P97" s="152"/>
      <c r="Q97" s="152"/>
      <c r="R97" s="153"/>
      <c r="S97" s="112"/>
    </row>
    <row r="98" spans="2:19" ht="15.75" customHeight="1" x14ac:dyDescent="0.2">
      <c r="B98" s="154"/>
      <c r="C98" s="155"/>
      <c r="D98" s="155"/>
      <c r="E98" s="155"/>
      <c r="F98" s="155"/>
      <c r="G98" s="155"/>
      <c r="H98" s="155"/>
      <c r="I98" s="155"/>
      <c r="J98" s="155"/>
      <c r="K98" s="155"/>
      <c r="L98" s="155"/>
      <c r="M98" s="155"/>
      <c r="N98" s="155"/>
      <c r="O98" s="155"/>
      <c r="P98" s="155"/>
      <c r="Q98" s="155"/>
      <c r="R98" s="156"/>
      <c r="S98" s="112"/>
    </row>
    <row r="99" spans="2:19" ht="18" x14ac:dyDescent="0.25">
      <c r="B99" s="142" t="s">
        <v>70</v>
      </c>
      <c r="C99" s="143"/>
      <c r="D99" s="143"/>
      <c r="E99" s="143"/>
      <c r="F99" s="143"/>
      <c r="G99" s="144" t="s">
        <v>69</v>
      </c>
      <c r="H99" s="145"/>
      <c r="I99" s="145"/>
      <c r="J99" s="145"/>
      <c r="K99" s="145"/>
      <c r="L99" s="145"/>
      <c r="M99" s="145"/>
      <c r="N99" s="145"/>
      <c r="O99" s="145"/>
      <c r="P99" s="145"/>
      <c r="Q99" s="145"/>
      <c r="R99" s="146"/>
      <c r="S99" s="112"/>
    </row>
    <row r="100" spans="2:19" ht="15" x14ac:dyDescent="0.2">
      <c r="B100" s="67"/>
      <c r="C100" s="53"/>
      <c r="D100" s="54"/>
      <c r="E100" s="55"/>
      <c r="F100" s="56"/>
      <c r="G100" s="54"/>
      <c r="H100" s="55"/>
      <c r="I100" s="56"/>
      <c r="J100" s="53"/>
      <c r="K100" s="53"/>
      <c r="L100" s="52"/>
      <c r="M100" s="52"/>
      <c r="N100" s="52"/>
      <c r="O100" s="52"/>
      <c r="P100" s="52"/>
      <c r="Q100" s="52"/>
      <c r="R100" s="61"/>
      <c r="S100" s="112"/>
    </row>
    <row r="101" spans="2:19" ht="15" x14ac:dyDescent="0.2">
      <c r="B101" s="67"/>
      <c r="C101" s="53"/>
      <c r="D101" s="54"/>
      <c r="E101" s="55"/>
      <c r="F101" s="56"/>
      <c r="G101" s="54"/>
      <c r="H101" s="55"/>
      <c r="I101" s="56"/>
      <c r="J101" s="53"/>
      <c r="K101" s="53"/>
      <c r="L101" s="52"/>
      <c r="M101" s="52"/>
      <c r="N101" s="52"/>
      <c r="O101" s="52"/>
      <c r="P101" s="52"/>
      <c r="Q101" s="52"/>
      <c r="R101" s="61"/>
      <c r="S101" s="112"/>
    </row>
    <row r="102" spans="2:19" ht="15" x14ac:dyDescent="0.2">
      <c r="B102" s="67"/>
      <c r="C102" s="53"/>
      <c r="D102" s="54"/>
      <c r="E102" s="55"/>
      <c r="F102" s="56"/>
      <c r="G102" s="54"/>
      <c r="H102" s="55"/>
      <c r="I102" s="56"/>
      <c r="J102" s="53"/>
      <c r="K102" s="53"/>
      <c r="L102" s="52"/>
      <c r="M102" s="52"/>
      <c r="N102" s="52"/>
      <c r="O102" s="52"/>
      <c r="P102" s="52"/>
      <c r="Q102" s="52"/>
      <c r="R102" s="61"/>
      <c r="S102" s="112"/>
    </row>
    <row r="103" spans="2:19" ht="15" x14ac:dyDescent="0.2">
      <c r="B103" s="67"/>
      <c r="C103" s="53"/>
      <c r="D103" s="54"/>
      <c r="E103" s="55"/>
      <c r="F103" s="56"/>
      <c r="G103" s="54"/>
      <c r="H103" s="55"/>
      <c r="I103" s="56"/>
      <c r="J103" s="53"/>
      <c r="K103" s="53"/>
      <c r="L103" s="52"/>
      <c r="M103" s="52"/>
      <c r="N103" s="52"/>
      <c r="O103" s="52"/>
      <c r="P103" s="52"/>
      <c r="Q103" s="52"/>
      <c r="R103" s="61"/>
      <c r="S103" s="112"/>
    </row>
    <row r="104" spans="2:19" ht="15" x14ac:dyDescent="0.2">
      <c r="B104" s="67"/>
      <c r="C104" s="53"/>
      <c r="D104" s="54"/>
      <c r="E104" s="55"/>
      <c r="F104" s="56"/>
      <c r="G104" s="54"/>
      <c r="H104" s="55"/>
      <c r="I104" s="56"/>
      <c r="J104" s="53"/>
      <c r="K104" s="53"/>
      <c r="L104" s="52"/>
      <c r="M104" s="52"/>
      <c r="N104" s="52"/>
      <c r="O104" s="52"/>
      <c r="P104" s="52"/>
      <c r="Q104" s="52"/>
      <c r="R104" s="61"/>
      <c r="S104" s="112"/>
    </row>
    <row r="105" spans="2:19" ht="15" x14ac:dyDescent="0.2">
      <c r="B105" s="67"/>
      <c r="C105" s="53"/>
      <c r="D105" s="54"/>
      <c r="E105" s="55"/>
      <c r="F105" s="56"/>
      <c r="G105" s="54"/>
      <c r="H105" s="55"/>
      <c r="I105" s="56"/>
      <c r="J105" s="53"/>
      <c r="K105" s="53"/>
      <c r="L105" s="52"/>
      <c r="M105" s="52"/>
      <c r="N105" s="52"/>
      <c r="O105" s="52"/>
      <c r="P105" s="52"/>
      <c r="Q105" s="52"/>
      <c r="R105" s="61"/>
      <c r="S105" s="112"/>
    </row>
    <row r="106" spans="2:19" ht="15" x14ac:dyDescent="0.2">
      <c r="B106" s="67"/>
      <c r="C106" s="53"/>
      <c r="D106" s="54"/>
      <c r="E106" s="55"/>
      <c r="F106" s="56"/>
      <c r="G106" s="54"/>
      <c r="H106" s="55"/>
      <c r="I106" s="56"/>
      <c r="J106" s="53"/>
      <c r="K106" s="53"/>
      <c r="L106" s="52"/>
      <c r="M106" s="52"/>
      <c r="N106" s="52"/>
      <c r="O106" s="52"/>
      <c r="P106" s="52"/>
      <c r="Q106" s="52"/>
      <c r="R106" s="61"/>
      <c r="S106" s="112"/>
    </row>
    <row r="107" spans="2:19" ht="15" x14ac:dyDescent="0.2">
      <c r="B107" s="67"/>
      <c r="C107" s="53"/>
      <c r="D107" s="54"/>
      <c r="E107" s="55"/>
      <c r="F107" s="56"/>
      <c r="G107" s="54"/>
      <c r="H107" s="55"/>
      <c r="I107" s="56"/>
      <c r="J107" s="53"/>
      <c r="K107" s="53"/>
      <c r="L107" s="52"/>
      <c r="M107" s="52"/>
      <c r="N107" s="52"/>
      <c r="O107" s="52"/>
      <c r="P107" s="52"/>
      <c r="Q107" s="52"/>
      <c r="R107" s="61"/>
      <c r="S107" s="112"/>
    </row>
    <row r="108" spans="2:19" ht="15" x14ac:dyDescent="0.2">
      <c r="B108" s="67"/>
      <c r="C108" s="53"/>
      <c r="D108" s="54"/>
      <c r="E108" s="55"/>
      <c r="F108" s="56"/>
      <c r="G108" s="54"/>
      <c r="H108" s="55"/>
      <c r="I108" s="56"/>
      <c r="J108" s="53"/>
      <c r="K108" s="53"/>
      <c r="L108" s="52"/>
      <c r="M108" s="52"/>
      <c r="N108" s="52"/>
      <c r="O108" s="52"/>
      <c r="P108" s="52"/>
      <c r="Q108" s="52"/>
      <c r="R108" s="61"/>
      <c r="S108" s="112"/>
    </row>
    <row r="109" spans="2:19" ht="15" x14ac:dyDescent="0.2">
      <c r="B109" s="67"/>
      <c r="C109" s="53"/>
      <c r="D109" s="54"/>
      <c r="E109" s="55"/>
      <c r="F109" s="56"/>
      <c r="G109" s="54"/>
      <c r="H109" s="55"/>
      <c r="I109" s="56"/>
      <c r="J109" s="53"/>
      <c r="K109" s="53"/>
      <c r="L109" s="52"/>
      <c r="M109" s="52"/>
      <c r="N109" s="52"/>
      <c r="O109" s="52"/>
      <c r="P109" s="52"/>
      <c r="Q109" s="52"/>
      <c r="R109" s="61"/>
      <c r="S109" s="112"/>
    </row>
    <row r="110" spans="2:19" ht="15" x14ac:dyDescent="0.2">
      <c r="B110" s="67"/>
      <c r="C110" s="53"/>
      <c r="D110" s="54"/>
      <c r="E110" s="55"/>
      <c r="F110" s="56"/>
      <c r="G110" s="54"/>
      <c r="H110" s="55"/>
      <c r="I110" s="56"/>
      <c r="J110" s="53"/>
      <c r="K110" s="53"/>
      <c r="L110" s="52"/>
      <c r="M110" s="52"/>
      <c r="N110" s="52"/>
      <c r="O110" s="52"/>
      <c r="P110" s="52"/>
      <c r="Q110" s="52"/>
      <c r="R110" s="61"/>
      <c r="S110" s="112"/>
    </row>
    <row r="111" spans="2:19" ht="15" x14ac:dyDescent="0.2">
      <c r="B111" s="67"/>
      <c r="C111" s="53"/>
      <c r="D111" s="54"/>
      <c r="E111" s="55"/>
      <c r="F111" s="56"/>
      <c r="G111" s="54"/>
      <c r="H111" s="55"/>
      <c r="I111" s="56"/>
      <c r="J111" s="53"/>
      <c r="K111" s="53"/>
      <c r="L111" s="52"/>
      <c r="M111" s="52"/>
      <c r="N111" s="52"/>
      <c r="O111" s="52"/>
      <c r="P111" s="52"/>
      <c r="Q111" s="52"/>
      <c r="R111" s="61"/>
      <c r="S111" s="112"/>
    </row>
    <row r="112" spans="2:19" ht="15" x14ac:dyDescent="0.2">
      <c r="B112" s="67"/>
      <c r="C112" s="53"/>
      <c r="D112" s="54"/>
      <c r="E112" s="55"/>
      <c r="F112" s="56"/>
      <c r="G112" s="54"/>
      <c r="H112" s="55"/>
      <c r="I112" s="56"/>
      <c r="J112" s="53"/>
      <c r="K112" s="53"/>
      <c r="L112" s="52"/>
      <c r="M112" s="52"/>
      <c r="N112" s="52"/>
      <c r="O112" s="52"/>
      <c r="P112" s="52"/>
      <c r="Q112" s="52"/>
      <c r="R112" s="61"/>
      <c r="S112" s="112"/>
    </row>
    <row r="113" spans="2:19" ht="15" x14ac:dyDescent="0.2">
      <c r="B113" s="67"/>
      <c r="C113" s="53"/>
      <c r="D113" s="54"/>
      <c r="E113" s="55"/>
      <c r="F113" s="56"/>
      <c r="G113" s="54"/>
      <c r="H113" s="55"/>
      <c r="I113" s="56"/>
      <c r="J113" s="53"/>
      <c r="K113" s="53"/>
      <c r="L113" s="52"/>
      <c r="M113" s="52"/>
      <c r="N113" s="52"/>
      <c r="O113" s="52"/>
      <c r="P113" s="52"/>
      <c r="Q113" s="52"/>
      <c r="R113" s="61"/>
      <c r="S113" s="112"/>
    </row>
    <row r="114" spans="2:19" ht="15" x14ac:dyDescent="0.2">
      <c r="B114" s="67"/>
      <c r="C114" s="53"/>
      <c r="D114" s="54"/>
      <c r="E114" s="55"/>
      <c r="F114" s="56"/>
      <c r="G114" s="54"/>
      <c r="H114" s="55"/>
      <c r="I114" s="56"/>
      <c r="J114" s="53"/>
      <c r="K114" s="53"/>
      <c r="L114" s="52"/>
      <c r="M114" s="52"/>
      <c r="N114" s="52"/>
      <c r="O114" s="52"/>
      <c r="P114" s="52"/>
      <c r="Q114" s="52"/>
      <c r="R114" s="61"/>
      <c r="S114" s="112"/>
    </row>
    <row r="115" spans="2:19" ht="15" x14ac:dyDescent="0.2">
      <c r="B115" s="67"/>
      <c r="C115" s="53"/>
      <c r="D115" s="54"/>
      <c r="E115" s="55"/>
      <c r="F115" s="56"/>
      <c r="G115" s="54"/>
      <c r="H115" s="55"/>
      <c r="I115" s="56"/>
      <c r="J115" s="53"/>
      <c r="K115" s="53"/>
      <c r="L115" s="52"/>
      <c r="M115" s="52"/>
      <c r="N115" s="52"/>
      <c r="O115" s="52"/>
      <c r="P115" s="52"/>
      <c r="Q115" s="52"/>
      <c r="R115" s="61"/>
      <c r="S115" s="112"/>
    </row>
    <row r="116" spans="2:19" ht="15" x14ac:dyDescent="0.2">
      <c r="B116" s="67"/>
      <c r="C116" s="53"/>
      <c r="D116" s="54"/>
      <c r="E116" s="55"/>
      <c r="F116" s="56"/>
      <c r="G116" s="54"/>
      <c r="H116" s="55"/>
      <c r="I116" s="56"/>
      <c r="J116" s="53"/>
      <c r="K116" s="53"/>
      <c r="L116" s="52"/>
      <c r="M116" s="52"/>
      <c r="N116" s="52"/>
      <c r="O116" s="52"/>
      <c r="P116" s="52"/>
      <c r="Q116" s="52"/>
      <c r="R116" s="61"/>
      <c r="S116" s="112"/>
    </row>
    <row r="117" spans="2:19" ht="15" x14ac:dyDescent="0.2">
      <c r="B117" s="67"/>
      <c r="C117" s="53"/>
      <c r="D117" s="54"/>
      <c r="E117" s="55"/>
      <c r="F117" s="56"/>
      <c r="G117" s="54"/>
      <c r="H117" s="55"/>
      <c r="I117" s="56"/>
      <c r="J117" s="53"/>
      <c r="K117" s="53"/>
      <c r="L117" s="52"/>
      <c r="M117" s="52"/>
      <c r="N117" s="52"/>
      <c r="O117" s="52"/>
      <c r="P117" s="52"/>
      <c r="Q117" s="52"/>
      <c r="R117" s="61"/>
      <c r="S117" s="112"/>
    </row>
    <row r="118" spans="2:19" ht="15" x14ac:dyDescent="0.2">
      <c r="B118" s="67"/>
      <c r="C118" s="53"/>
      <c r="D118" s="54"/>
      <c r="E118" s="55"/>
      <c r="F118" s="56"/>
      <c r="G118" s="54"/>
      <c r="H118" s="55"/>
      <c r="I118" s="56"/>
      <c r="J118" s="53"/>
      <c r="K118" s="53"/>
      <c r="L118" s="52"/>
      <c r="M118" s="52"/>
      <c r="N118" s="52"/>
      <c r="O118" s="52"/>
      <c r="P118" s="52"/>
      <c r="Q118" s="52"/>
      <c r="R118" s="61"/>
      <c r="S118" s="112"/>
    </row>
    <row r="119" spans="2:19" ht="15" x14ac:dyDescent="0.2">
      <c r="B119" s="67"/>
      <c r="C119" s="53"/>
      <c r="D119" s="54"/>
      <c r="E119" s="55"/>
      <c r="F119" s="56"/>
      <c r="G119" s="54"/>
      <c r="H119" s="55"/>
      <c r="I119" s="56"/>
      <c r="J119" s="53"/>
      <c r="K119" s="53"/>
      <c r="L119" s="52"/>
      <c r="M119" s="52"/>
      <c r="N119" s="52"/>
      <c r="O119" s="52"/>
      <c r="P119" s="52"/>
      <c r="Q119" s="52"/>
      <c r="R119" s="61"/>
      <c r="S119" s="112"/>
    </row>
    <row r="120" spans="2:19" ht="15" x14ac:dyDescent="0.2">
      <c r="B120" s="67"/>
      <c r="C120" s="53"/>
      <c r="D120" s="54"/>
      <c r="E120" s="55"/>
      <c r="F120" s="56"/>
      <c r="G120" s="54"/>
      <c r="H120" s="55"/>
      <c r="I120" s="56"/>
      <c r="J120" s="53"/>
      <c r="K120" s="53"/>
      <c r="L120" s="52"/>
      <c r="M120" s="52"/>
      <c r="N120" s="52"/>
      <c r="O120" s="52"/>
      <c r="P120" s="52"/>
      <c r="Q120" s="52"/>
      <c r="R120" s="61"/>
      <c r="S120" s="112"/>
    </row>
    <row r="121" spans="2:19" ht="15" x14ac:dyDescent="0.2">
      <c r="B121" s="67"/>
      <c r="C121" s="53"/>
      <c r="D121" s="54"/>
      <c r="E121" s="55"/>
      <c r="F121" s="56"/>
      <c r="G121" s="54"/>
      <c r="H121" s="55"/>
      <c r="I121" s="56"/>
      <c r="J121" s="53"/>
      <c r="K121" s="53"/>
      <c r="L121" s="52"/>
      <c r="M121" s="52"/>
      <c r="N121" s="52"/>
      <c r="O121" s="52"/>
      <c r="P121" s="52"/>
      <c r="Q121" s="52"/>
      <c r="R121" s="61"/>
      <c r="S121" s="112"/>
    </row>
    <row r="122" spans="2:19" ht="15" x14ac:dyDescent="0.2">
      <c r="B122" s="67"/>
      <c r="C122" s="53"/>
      <c r="D122" s="54"/>
      <c r="E122" s="55"/>
      <c r="F122" s="56"/>
      <c r="G122" s="54"/>
      <c r="H122" s="55"/>
      <c r="I122" s="56"/>
      <c r="J122" s="53"/>
      <c r="K122" s="53"/>
      <c r="L122" s="52"/>
      <c r="M122" s="52"/>
      <c r="N122" s="52"/>
      <c r="O122" s="52"/>
      <c r="P122" s="52"/>
      <c r="Q122" s="52"/>
      <c r="R122" s="61"/>
      <c r="S122" s="112"/>
    </row>
    <row r="123" spans="2:19" ht="15" x14ac:dyDescent="0.2">
      <c r="B123" s="67"/>
      <c r="C123" s="53"/>
      <c r="D123" s="54"/>
      <c r="E123" s="55"/>
      <c r="F123" s="56"/>
      <c r="G123" s="54"/>
      <c r="H123" s="55"/>
      <c r="I123" s="56"/>
      <c r="J123" s="53"/>
      <c r="K123" s="53"/>
      <c r="L123" s="52"/>
      <c r="M123" s="52"/>
      <c r="N123" s="52"/>
      <c r="O123" s="52"/>
      <c r="P123" s="52"/>
      <c r="Q123" s="52"/>
      <c r="R123" s="61"/>
      <c r="S123" s="112"/>
    </row>
    <row r="124" spans="2:19" ht="15" x14ac:dyDescent="0.2">
      <c r="B124" s="67"/>
      <c r="C124" s="53"/>
      <c r="D124" s="54"/>
      <c r="E124" s="55"/>
      <c r="F124" s="56"/>
      <c r="G124" s="54"/>
      <c r="H124" s="55"/>
      <c r="I124" s="56"/>
      <c r="J124" s="53"/>
      <c r="K124" s="53"/>
      <c r="L124" s="52"/>
      <c r="M124" s="52"/>
      <c r="N124" s="52"/>
      <c r="O124" s="52"/>
      <c r="P124" s="52"/>
      <c r="Q124" s="52"/>
      <c r="R124" s="61"/>
      <c r="S124" s="112"/>
    </row>
    <row r="125" spans="2:19" ht="15" x14ac:dyDescent="0.2">
      <c r="B125" s="67"/>
      <c r="C125" s="53"/>
      <c r="D125" s="54"/>
      <c r="E125" s="55"/>
      <c r="F125" s="56"/>
      <c r="G125" s="54"/>
      <c r="H125" s="55"/>
      <c r="I125" s="56"/>
      <c r="J125" s="53"/>
      <c r="K125" s="53"/>
      <c r="L125" s="52"/>
      <c r="M125" s="52"/>
      <c r="N125" s="52"/>
      <c r="O125" s="52"/>
      <c r="P125" s="52"/>
      <c r="Q125" s="52"/>
      <c r="R125" s="61"/>
      <c r="S125" s="112"/>
    </row>
    <row r="126" spans="2:19" ht="15" x14ac:dyDescent="0.2">
      <c r="B126" s="67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61"/>
      <c r="S126" s="112"/>
    </row>
    <row r="127" spans="2:19" ht="42" customHeight="1" x14ac:dyDescent="0.2">
      <c r="B127" s="68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3"/>
      <c r="S127" s="112"/>
    </row>
    <row r="128" spans="2:19" ht="15" x14ac:dyDescent="0.2"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112"/>
    </row>
    <row r="129" spans="2:19" ht="15" x14ac:dyDescent="0.2"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112"/>
    </row>
    <row r="130" spans="2:19" ht="15" x14ac:dyDescent="0.2"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112"/>
    </row>
    <row r="131" spans="2:19" ht="15" x14ac:dyDescent="0.2"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112"/>
    </row>
    <row r="132" spans="2:19" ht="15" x14ac:dyDescent="0.2">
      <c r="B132" s="52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112"/>
    </row>
    <row r="133" spans="2:19" ht="15" x14ac:dyDescent="0.2"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112"/>
    </row>
    <row r="134" spans="2:19" ht="15" x14ac:dyDescent="0.2"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112"/>
    </row>
    <row r="135" spans="2:19" ht="15" x14ac:dyDescent="0.2">
      <c r="B135" s="52"/>
      <c r="C135" s="53"/>
      <c r="D135" s="54"/>
      <c r="E135" s="55"/>
      <c r="F135" s="56"/>
      <c r="G135" s="54"/>
      <c r="H135" s="55"/>
      <c r="I135" s="56"/>
      <c r="J135" s="53"/>
      <c r="K135" s="52"/>
      <c r="L135" s="52"/>
      <c r="M135" s="52"/>
      <c r="N135" s="52"/>
      <c r="O135" s="52"/>
      <c r="P135" s="52"/>
      <c r="Q135" s="52"/>
      <c r="R135" s="52"/>
      <c r="S135" s="112"/>
    </row>
    <row r="136" spans="2:19" ht="15" x14ac:dyDescent="0.2">
      <c r="C136" s="120"/>
      <c r="D136" s="121"/>
      <c r="E136" s="121"/>
      <c r="F136" s="119"/>
      <c r="G136" s="119"/>
      <c r="H136" s="119"/>
      <c r="I136" s="119"/>
      <c r="J136" s="119"/>
      <c r="K136" s="52"/>
      <c r="L136" s="52"/>
      <c r="M136" s="52"/>
      <c r="N136" s="52"/>
      <c r="O136" s="52"/>
      <c r="P136" s="52"/>
      <c r="Q136" s="52"/>
      <c r="R136" s="52"/>
    </row>
    <row r="138" spans="2:19" ht="15.75" x14ac:dyDescent="0.25">
      <c r="B138" s="58"/>
    </row>
    <row r="140" spans="2:19" ht="15.75" x14ac:dyDescent="0.25">
      <c r="C140" s="57"/>
    </row>
  </sheetData>
  <mergeCells count="25">
    <mergeCell ref="C10:E10"/>
    <mergeCell ref="C8:E8"/>
    <mergeCell ref="E3:O3"/>
    <mergeCell ref="L13:R14"/>
    <mergeCell ref="B12:R12"/>
    <mergeCell ref="M10:P10"/>
    <mergeCell ref="M9:P9"/>
    <mergeCell ref="C5:E5"/>
    <mergeCell ref="C7:F7"/>
    <mergeCell ref="C11:E11"/>
    <mergeCell ref="M7:P7"/>
    <mergeCell ref="M70:P70"/>
    <mergeCell ref="M71:P71"/>
    <mergeCell ref="E64:O64"/>
    <mergeCell ref="C66:E66"/>
    <mergeCell ref="C68:F68"/>
    <mergeCell ref="C69:E69"/>
    <mergeCell ref="M68:P68"/>
    <mergeCell ref="B99:F99"/>
    <mergeCell ref="G99:R99"/>
    <mergeCell ref="L74:R75"/>
    <mergeCell ref="B97:R98"/>
    <mergeCell ref="C71:E71"/>
    <mergeCell ref="C72:E72"/>
    <mergeCell ref="B73:R73"/>
  </mergeCells>
  <hyperlinks>
    <hyperlink ref="C5" r:id="rId1" xr:uid="{00000000-0004-0000-0200-000000000000}"/>
    <hyperlink ref="C66" r:id="rId2" xr:uid="{00000000-0004-0000-0200-000001000000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scale="44" fitToHeight="2" orientation="landscape" r:id="rId3"/>
  <rowBreaks count="1" manualBreakCount="1">
    <brk id="60" min="1" max="17" man="1"/>
  </rowBreak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K60"/>
  <sheetViews>
    <sheetView workbookViewId="0">
      <selection activeCell="D29" sqref="D29"/>
    </sheetView>
  </sheetViews>
  <sheetFormatPr defaultColWidth="11.42578125" defaultRowHeight="15" x14ac:dyDescent="0.25"/>
  <sheetData>
    <row r="1" spans="1:11" ht="18.75" x14ac:dyDescent="0.35">
      <c r="A1" s="38" t="s">
        <v>37</v>
      </c>
      <c r="B1" s="39">
        <v>10</v>
      </c>
      <c r="C1" s="40" t="s">
        <v>38</v>
      </c>
      <c r="D1" s="41">
        <v>3</v>
      </c>
      <c r="E1" s="38" t="s">
        <v>39</v>
      </c>
      <c r="F1" s="39">
        <v>9.81</v>
      </c>
      <c r="G1" s="42"/>
      <c r="H1" s="42"/>
      <c r="I1" s="42"/>
      <c r="J1" s="42"/>
      <c r="K1" s="42"/>
    </row>
    <row r="2" spans="1:11" ht="18" x14ac:dyDescent="0.35">
      <c r="A2" s="42" t="s">
        <v>40</v>
      </c>
      <c r="B2" s="43">
        <v>0.52</v>
      </c>
      <c r="C2" s="44" t="s">
        <v>41</v>
      </c>
      <c r="D2" s="44">
        <v>250</v>
      </c>
      <c r="E2" s="42"/>
      <c r="F2" s="42"/>
      <c r="G2" s="42"/>
      <c r="H2" s="42"/>
      <c r="I2" s="42"/>
      <c r="J2" s="42"/>
      <c r="K2" s="42"/>
    </row>
    <row r="3" spans="1:11" ht="18" x14ac:dyDescent="0.35">
      <c r="A3" s="42" t="s">
        <v>42</v>
      </c>
      <c r="B3" s="43">
        <v>0.6</v>
      </c>
      <c r="C3" s="44" t="s">
        <v>43</v>
      </c>
      <c r="D3" s="44">
        <v>100</v>
      </c>
      <c r="E3" s="42"/>
      <c r="F3" s="42"/>
      <c r="G3" s="42"/>
      <c r="H3" s="42"/>
      <c r="I3" s="42"/>
      <c r="J3" s="42"/>
      <c r="K3" s="42"/>
    </row>
    <row r="4" spans="1:11" ht="15.75" thickBo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 t="s">
        <v>44</v>
      </c>
    </row>
    <row r="5" spans="1:11" ht="27.75" x14ac:dyDescent="0.25">
      <c r="A5" s="45" t="s">
        <v>45</v>
      </c>
      <c r="B5" s="45" t="s">
        <v>46</v>
      </c>
      <c r="C5" s="45" t="s">
        <v>47</v>
      </c>
      <c r="D5" s="45" t="s">
        <v>48</v>
      </c>
      <c r="E5" s="45" t="s">
        <v>49</v>
      </c>
      <c r="F5" s="45" t="s">
        <v>50</v>
      </c>
      <c r="G5" s="45" t="s">
        <v>51</v>
      </c>
      <c r="H5" s="45" t="s">
        <v>52</v>
      </c>
      <c r="I5" s="45" t="s">
        <v>53</v>
      </c>
      <c r="J5" s="45" t="s">
        <v>53</v>
      </c>
      <c r="K5" s="45" t="s">
        <v>54</v>
      </c>
    </row>
    <row r="6" spans="1:11" x14ac:dyDescent="0.25">
      <c r="A6" s="44">
        <v>0.3</v>
      </c>
      <c r="B6" s="44">
        <f>21+19</f>
        <v>40</v>
      </c>
      <c r="C6" s="46">
        <f>+B6*($B$2/$B$3)</f>
        <v>34.666666666666671</v>
      </c>
      <c r="D6" s="47">
        <f>8.32*LOG10(Resultados!F15)-1.61*LOG10(Resultados!B15)</f>
        <v>18.089612346130117</v>
      </c>
      <c r="E6" s="48">
        <f>+(A6-0)*D6</f>
        <v>5.4268837038390352</v>
      </c>
      <c r="F6" s="48">
        <f>+E6+SUM(E6:E$6)</f>
        <v>10.85376740767807</v>
      </c>
      <c r="G6" s="49">
        <f>+IF((A6-$D$1)&gt;0,$B$1*(A6-$D$1),0)</f>
        <v>0</v>
      </c>
      <c r="H6" s="48">
        <f>+F6-G6</f>
        <v>10.85376740767807</v>
      </c>
      <c r="I6" s="50">
        <f>15560*(C6^0.68)</f>
        <v>173440.21777500529</v>
      </c>
      <c r="J6" s="50">
        <f>+$D$2*(C6*H6*($D$3^2))^(0.333333333333333)</f>
        <v>38883.994562004191</v>
      </c>
      <c r="K6" s="51">
        <f>+((I6*1000)/(D6*$F$1*10))^(0.5)</f>
        <v>312.6264876096036</v>
      </c>
    </row>
    <row r="7" spans="1:11" x14ac:dyDescent="0.25">
      <c r="A7" s="44">
        <v>1</v>
      </c>
      <c r="B7" s="44">
        <f>29+17</f>
        <v>46</v>
      </c>
      <c r="C7" s="46">
        <f t="shared" ref="C7:C23" si="0">+B7*($B$2/$B$3)</f>
        <v>39.866666666666667</v>
      </c>
      <c r="D7" s="47">
        <f>8.32*LOG10(Resultados!F15)-1.61*LOG10(Resultados!B15)</f>
        <v>18.089612346130117</v>
      </c>
      <c r="E7" s="48">
        <f>+(A7-A6)*D7</f>
        <v>12.662728642291082</v>
      </c>
      <c r="F7" s="48">
        <f>+E7+SUM(E$6:E7)</f>
        <v>30.752340988421199</v>
      </c>
      <c r="G7" s="49">
        <f t="shared" ref="G7:G23" si="1">+IF((A7-$D$1)&gt;0,$B$1*(A7-$D$1),0)</f>
        <v>0</v>
      </c>
      <c r="H7" s="48">
        <f t="shared" ref="H7:H23" si="2">+F7-G7</f>
        <v>30.752340988421199</v>
      </c>
      <c r="I7" s="50">
        <f t="shared" ref="I7:I23" si="3">15560*(C7^0.68)</f>
        <v>190732.34204504653</v>
      </c>
      <c r="J7" s="50">
        <f t="shared" ref="J7:J23" si="4">+$D$2*(C7*H7*($D$3^2))^(0.333333333333333)</f>
        <v>57646.026560326318</v>
      </c>
      <c r="K7" s="51">
        <f>+((I7*1000)/(D7*$F$1*10))^(0.5)</f>
        <v>327.84082732193127</v>
      </c>
    </row>
    <row r="8" spans="1:11" x14ac:dyDescent="0.25">
      <c r="A8" s="44">
        <v>1.4</v>
      </c>
      <c r="B8" s="44">
        <f>12+14</f>
        <v>26</v>
      </c>
      <c r="C8" s="46">
        <f t="shared" si="0"/>
        <v>22.533333333333335</v>
      </c>
      <c r="D8" s="47">
        <f>8.32*LOG10(Resultados!F15)-1.61*LOG10(Resultados!B15)</f>
        <v>18.089612346130117</v>
      </c>
      <c r="E8" s="48">
        <f t="shared" ref="E8:E23" si="5">+(A8-A7)*D8</f>
        <v>7.2358449384520451</v>
      </c>
      <c r="F8" s="48">
        <f>+E8+SUM(E$6:E8)</f>
        <v>32.561302223034211</v>
      </c>
      <c r="G8" s="49">
        <f t="shared" si="1"/>
        <v>0</v>
      </c>
      <c r="H8" s="48">
        <f t="shared" si="2"/>
        <v>32.561302223034211</v>
      </c>
      <c r="I8" s="50">
        <f t="shared" si="3"/>
        <v>129398.99183072138</v>
      </c>
      <c r="J8" s="50">
        <f t="shared" si="4"/>
        <v>48579.05670174121</v>
      </c>
      <c r="K8" s="51">
        <f>+((I8*1000)/(D8*$F$1*10))^(0.5)</f>
        <v>270.03267121080353</v>
      </c>
    </row>
    <row r="9" spans="1:11" x14ac:dyDescent="0.25">
      <c r="A9" s="44">
        <v>2</v>
      </c>
      <c r="B9" s="44">
        <f>8+9</f>
        <v>17</v>
      </c>
      <c r="C9" s="46">
        <f t="shared" si="0"/>
        <v>14.733333333333334</v>
      </c>
      <c r="D9" s="47">
        <f>8.32*LOG10(Resultados!F16)-1.61*LOG10(Resultados!B16)</f>
        <v>19.548778356895596</v>
      </c>
      <c r="E9" s="48">
        <f t="shared" si="5"/>
        <v>11.72926701413736</v>
      </c>
      <c r="F9" s="48">
        <f>+E9+SUM(E$6:E9)</f>
        <v>48.783991312856884</v>
      </c>
      <c r="G9" s="49">
        <f t="shared" si="1"/>
        <v>0</v>
      </c>
      <c r="H9" s="48">
        <f t="shared" si="2"/>
        <v>48.783991312856884</v>
      </c>
      <c r="I9" s="50">
        <f t="shared" si="3"/>
        <v>96929.122838676878</v>
      </c>
      <c r="J9" s="50">
        <f t="shared" si="4"/>
        <v>48246.534453205342</v>
      </c>
      <c r="K9" s="51">
        <f>+((I9*1000)/(D9*$F$1*10))^(0.5)</f>
        <v>224.81890400718277</v>
      </c>
    </row>
    <row r="10" spans="1:11" x14ac:dyDescent="0.25">
      <c r="A10" s="44">
        <v>8</v>
      </c>
      <c r="B10" s="44">
        <v>6</v>
      </c>
      <c r="C10" s="46">
        <f t="shared" si="0"/>
        <v>5.2</v>
      </c>
      <c r="D10" s="47">
        <f>8.32*LOG10(Resultados!F22)-1.61*LOG10(Resultados!B22)</f>
        <v>19.862636132514815</v>
      </c>
      <c r="E10" s="48">
        <f t="shared" si="5"/>
        <v>119.17581679508889</v>
      </c>
      <c r="F10" s="48">
        <f>+E10+SUM(E$6:E10)</f>
        <v>275.40635788889733</v>
      </c>
      <c r="G10" s="49">
        <f t="shared" si="1"/>
        <v>50</v>
      </c>
      <c r="H10" s="48">
        <f t="shared" si="2"/>
        <v>225.40635788889733</v>
      </c>
      <c r="I10" s="50">
        <f t="shared" si="3"/>
        <v>47741.038988334789</v>
      </c>
      <c r="J10" s="50">
        <f t="shared" si="4"/>
        <v>56788.86347086294</v>
      </c>
      <c r="K10" s="51">
        <f>+((I10*1000)/(D10*$F$1*10))^(0.5)</f>
        <v>156.52834236842511</v>
      </c>
    </row>
    <row r="11" spans="1:11" x14ac:dyDescent="0.25">
      <c r="A11" s="44">
        <v>10.5</v>
      </c>
      <c r="B11" s="44">
        <v>4</v>
      </c>
      <c r="C11" s="46">
        <f t="shared" si="0"/>
        <v>3.4666666666666668</v>
      </c>
      <c r="D11" s="47">
        <f>8.32*LOG10(Resultados!F24)-1.61*LOG10(Resultados!B24)</f>
        <v>19.875231074448546</v>
      </c>
      <c r="E11" s="48">
        <f t="shared" si="5"/>
        <v>49.688077686121368</v>
      </c>
      <c r="F11" s="48">
        <f>+E11+SUM(E$6:E11)</f>
        <v>255.60669646605118</v>
      </c>
      <c r="G11" s="49">
        <f t="shared" si="1"/>
        <v>75</v>
      </c>
      <c r="H11" s="48">
        <f t="shared" si="2"/>
        <v>180.60669646605118</v>
      </c>
      <c r="I11" s="50">
        <f t="shared" si="3"/>
        <v>36236.797593180061</v>
      </c>
      <c r="J11" s="50">
        <f t="shared" si="4"/>
        <v>46077.47298404466</v>
      </c>
      <c r="K11" s="51">
        <f t="shared" ref="K11:K23" si="6">+((I11*1000)/(D11*$F$1*10))^(0.5)</f>
        <v>136.32776289573539</v>
      </c>
    </row>
    <row r="12" spans="1:11" x14ac:dyDescent="0.25">
      <c r="A12" s="44">
        <v>13</v>
      </c>
      <c r="B12" s="44">
        <v>17</v>
      </c>
      <c r="C12" s="46">
        <f t="shared" si="0"/>
        <v>14.733333333333334</v>
      </c>
      <c r="D12" s="47">
        <f>8.32*LOG10(Resultados!F27)-1.61*LOG10(Resultados!B27)</f>
        <v>20.46269754196075</v>
      </c>
      <c r="E12" s="48">
        <f t="shared" si="5"/>
        <v>51.156743854901876</v>
      </c>
      <c r="F12" s="48">
        <f>+E12+SUM(E$6:E12)</f>
        <v>308.23210648973355</v>
      </c>
      <c r="G12" s="49">
        <f t="shared" si="1"/>
        <v>100</v>
      </c>
      <c r="H12" s="48">
        <f t="shared" si="2"/>
        <v>208.23210648973355</v>
      </c>
      <c r="I12" s="50">
        <f t="shared" si="3"/>
        <v>96929.122838676878</v>
      </c>
      <c r="J12" s="50">
        <f t="shared" si="4"/>
        <v>78262.955487889049</v>
      </c>
      <c r="K12" s="51">
        <f t="shared" si="6"/>
        <v>219.74104985177371</v>
      </c>
    </row>
    <row r="13" spans="1:11" x14ac:dyDescent="0.25">
      <c r="A13" s="44">
        <v>17.5</v>
      </c>
      <c r="B13" s="44">
        <v>7</v>
      </c>
      <c r="C13" s="46">
        <f t="shared" si="0"/>
        <v>6.0666666666666664</v>
      </c>
      <c r="D13" s="47" t="e">
        <f>8.32*LOG10(Resultados!F31)-1.61*LOG10(Resultados!B31)</f>
        <v>#NUM!</v>
      </c>
      <c r="E13" s="48" t="e">
        <f t="shared" si="5"/>
        <v>#NUM!</v>
      </c>
      <c r="F13" s="48" t="e">
        <f>+E13+SUM(E$6:E13)</f>
        <v>#NUM!</v>
      </c>
      <c r="G13" s="49">
        <f t="shared" si="1"/>
        <v>145</v>
      </c>
      <c r="H13" s="48" t="e">
        <f t="shared" si="2"/>
        <v>#NUM!</v>
      </c>
      <c r="I13" s="50">
        <f t="shared" si="3"/>
        <v>53017.065189419583</v>
      </c>
      <c r="J13" s="50" t="e">
        <f t="shared" si="4"/>
        <v>#NUM!</v>
      </c>
      <c r="K13" s="51" t="e">
        <f t="shared" si="6"/>
        <v>#NUM!</v>
      </c>
    </row>
    <row r="14" spans="1:11" x14ac:dyDescent="0.25">
      <c r="A14" s="44">
        <v>19.5</v>
      </c>
      <c r="B14" s="44">
        <f>15+21</f>
        <v>36</v>
      </c>
      <c r="C14" s="46">
        <f t="shared" si="0"/>
        <v>31.200000000000003</v>
      </c>
      <c r="D14" s="47" t="e">
        <f>8.32*LOG10(Resultados!F33)-1.61*LOG10(Resultados!B33)</f>
        <v>#NUM!</v>
      </c>
      <c r="E14" s="48" t="e">
        <f t="shared" si="5"/>
        <v>#NUM!</v>
      </c>
      <c r="F14" s="48" t="e">
        <f>+E14+SUM(E$6:E14)</f>
        <v>#NUM!</v>
      </c>
      <c r="G14" s="49">
        <f t="shared" si="1"/>
        <v>165</v>
      </c>
      <c r="H14" s="48" t="e">
        <f t="shared" si="2"/>
        <v>#NUM!</v>
      </c>
      <c r="I14" s="50">
        <f t="shared" si="3"/>
        <v>161448.76104075686</v>
      </c>
      <c r="J14" s="50" t="e">
        <f t="shared" si="4"/>
        <v>#NUM!</v>
      </c>
      <c r="K14" s="51" t="e">
        <f t="shared" si="6"/>
        <v>#NUM!</v>
      </c>
    </row>
    <row r="15" spans="1:11" x14ac:dyDescent="0.25">
      <c r="A15" s="44">
        <v>21.5</v>
      </c>
      <c r="B15" s="44">
        <f>9+21</f>
        <v>30</v>
      </c>
      <c r="C15" s="46">
        <f t="shared" si="0"/>
        <v>26</v>
      </c>
      <c r="D15" s="47" t="e">
        <f>8.32*LOG10(Resultados!F35)-1.61*LOG10(Resultados!B35)</f>
        <v>#NUM!</v>
      </c>
      <c r="E15" s="48" t="e">
        <f t="shared" si="5"/>
        <v>#NUM!</v>
      </c>
      <c r="F15" s="48" t="e">
        <f>+E15+SUM(E$6:E15)</f>
        <v>#NUM!</v>
      </c>
      <c r="G15" s="49">
        <f t="shared" si="1"/>
        <v>185</v>
      </c>
      <c r="H15" s="48" t="e">
        <f t="shared" si="2"/>
        <v>#NUM!</v>
      </c>
      <c r="I15" s="50">
        <f t="shared" si="3"/>
        <v>142623.62459140722</v>
      </c>
      <c r="J15" s="50" t="e">
        <f t="shared" si="4"/>
        <v>#NUM!</v>
      </c>
      <c r="K15" s="51" t="e">
        <f t="shared" si="6"/>
        <v>#NUM!</v>
      </c>
    </row>
    <row r="16" spans="1:11" x14ac:dyDescent="0.25">
      <c r="A16" s="44">
        <v>23.5</v>
      </c>
      <c r="B16" s="44">
        <v>18</v>
      </c>
      <c r="C16" s="46">
        <f t="shared" si="0"/>
        <v>15.600000000000001</v>
      </c>
      <c r="D16" s="47" t="e">
        <f>8.32*LOG10(Resultados!F37)-1.61*LOG10(Resultados!B37)</f>
        <v>#NUM!</v>
      </c>
      <c r="E16" s="48" t="e">
        <f t="shared" si="5"/>
        <v>#NUM!</v>
      </c>
      <c r="F16" s="48" t="e">
        <f>+E16+SUM(E$6:E16)</f>
        <v>#NUM!</v>
      </c>
      <c r="G16" s="49">
        <f t="shared" si="1"/>
        <v>205</v>
      </c>
      <c r="H16" s="48" t="e">
        <f t="shared" si="2"/>
        <v>#NUM!</v>
      </c>
      <c r="I16" s="50">
        <f t="shared" si="3"/>
        <v>100770.71024474663</v>
      </c>
      <c r="J16" s="50" t="e">
        <f t="shared" si="4"/>
        <v>#NUM!</v>
      </c>
      <c r="K16" s="51" t="e">
        <f t="shared" si="6"/>
        <v>#NUM!</v>
      </c>
    </row>
    <row r="17" spans="1:11" x14ac:dyDescent="0.25">
      <c r="A17" s="44">
        <v>25.5</v>
      </c>
      <c r="B17" s="44">
        <v>16</v>
      </c>
      <c r="C17" s="46">
        <f t="shared" si="0"/>
        <v>13.866666666666667</v>
      </c>
      <c r="D17" s="47" t="e">
        <f>8.32*LOG10(Resultados!F39)-1.61*LOG10(Resultados!B39)</f>
        <v>#NUM!</v>
      </c>
      <c r="E17" s="48" t="e">
        <f t="shared" si="5"/>
        <v>#NUM!</v>
      </c>
      <c r="F17" s="48" t="e">
        <f>+E17+SUM(E$6:E17)</f>
        <v>#NUM!</v>
      </c>
      <c r="G17" s="49">
        <f t="shared" si="1"/>
        <v>225</v>
      </c>
      <c r="H17" s="48" t="e">
        <f t="shared" si="2"/>
        <v>#NUM!</v>
      </c>
      <c r="I17" s="50">
        <f t="shared" si="3"/>
        <v>93014.488951664825</v>
      </c>
      <c r="J17" s="50" t="e">
        <f t="shared" si="4"/>
        <v>#NUM!</v>
      </c>
      <c r="K17" s="51" t="e">
        <f t="shared" si="6"/>
        <v>#NUM!</v>
      </c>
    </row>
    <row r="18" spans="1:11" x14ac:dyDescent="0.25">
      <c r="A18" s="44">
        <v>29.7</v>
      </c>
      <c r="B18" s="44">
        <f>14+17</f>
        <v>31</v>
      </c>
      <c r="C18" s="46">
        <f t="shared" si="0"/>
        <v>26.866666666666667</v>
      </c>
      <c r="D18" s="47" t="e">
        <f>8.32*LOG10(Resultados!F44)-1.61*LOG10(Resultados!B44)</f>
        <v>#NUM!</v>
      </c>
      <c r="E18" s="48" t="e">
        <f t="shared" si="5"/>
        <v>#NUM!</v>
      </c>
      <c r="F18" s="48" t="e">
        <f>+E18+SUM(E$6:E18)</f>
        <v>#NUM!</v>
      </c>
      <c r="G18" s="49">
        <f t="shared" si="1"/>
        <v>267</v>
      </c>
      <c r="H18" s="48" t="e">
        <f t="shared" si="2"/>
        <v>#NUM!</v>
      </c>
      <c r="I18" s="50">
        <f t="shared" si="3"/>
        <v>145839.43323099631</v>
      </c>
      <c r="J18" s="50" t="e">
        <f t="shared" si="4"/>
        <v>#NUM!</v>
      </c>
      <c r="K18" s="51" t="e">
        <f t="shared" si="6"/>
        <v>#NUM!</v>
      </c>
    </row>
    <row r="19" spans="1:11" x14ac:dyDescent="0.25">
      <c r="A19" s="44">
        <v>34.5</v>
      </c>
      <c r="B19" s="44">
        <f>13+31</f>
        <v>44</v>
      </c>
      <c r="C19" s="46">
        <f t="shared" si="0"/>
        <v>38.133333333333333</v>
      </c>
      <c r="D19" s="47" t="e">
        <f>8.32*LOG10(Resultados!F49)-1.61*LOG10(Resultados!B49)</f>
        <v>#NUM!</v>
      </c>
      <c r="E19" s="48" t="e">
        <f t="shared" si="5"/>
        <v>#NUM!</v>
      </c>
      <c r="F19" s="48" t="e">
        <f>+E19+SUM(E$6:E19)</f>
        <v>#NUM!</v>
      </c>
      <c r="G19" s="49">
        <f t="shared" si="1"/>
        <v>315</v>
      </c>
      <c r="H19" s="48" t="e">
        <f t="shared" si="2"/>
        <v>#NUM!</v>
      </c>
      <c r="I19" s="50">
        <f t="shared" si="3"/>
        <v>185053.30082306961</v>
      </c>
      <c r="J19" s="50" t="e">
        <f t="shared" si="4"/>
        <v>#NUM!</v>
      </c>
      <c r="K19" s="51" t="e">
        <f t="shared" si="6"/>
        <v>#NUM!</v>
      </c>
    </row>
    <row r="20" spans="1:11" x14ac:dyDescent="0.25">
      <c r="A20" s="44">
        <v>42</v>
      </c>
      <c r="B20" s="44">
        <f>11+13</f>
        <v>24</v>
      </c>
      <c r="C20" s="46">
        <f t="shared" si="0"/>
        <v>20.8</v>
      </c>
      <c r="D20" s="47" t="e">
        <f>8.32*LOG10(Resultados!#REF!)-1.61*LOG10(Resultados!#REF!)</f>
        <v>#REF!</v>
      </c>
      <c r="E20" s="48" t="e">
        <f t="shared" si="5"/>
        <v>#REF!</v>
      </c>
      <c r="F20" s="48" t="e">
        <f>+E20+SUM(E$6:E20)</f>
        <v>#REF!</v>
      </c>
      <c r="G20" s="49">
        <f t="shared" si="1"/>
        <v>390</v>
      </c>
      <c r="H20" s="48" t="e">
        <f t="shared" si="2"/>
        <v>#REF!</v>
      </c>
      <c r="I20" s="50">
        <f t="shared" si="3"/>
        <v>122544.17162837839</v>
      </c>
      <c r="J20" s="50" t="e">
        <f t="shared" si="4"/>
        <v>#REF!</v>
      </c>
      <c r="K20" s="51" t="e">
        <f t="shared" si="6"/>
        <v>#REF!</v>
      </c>
    </row>
    <row r="21" spans="1:11" x14ac:dyDescent="0.25">
      <c r="A21" s="47">
        <v>44.5</v>
      </c>
      <c r="B21" s="47">
        <f>19+18</f>
        <v>37</v>
      </c>
      <c r="C21" s="46">
        <f t="shared" si="0"/>
        <v>32.06666666666667</v>
      </c>
      <c r="D21" s="47" t="e">
        <f>8.32*LOG10(Resultados!#REF!)-1.61*LOG10(Resultados!#REF!)</f>
        <v>#REF!</v>
      </c>
      <c r="E21" s="48" t="e">
        <f t="shared" si="5"/>
        <v>#REF!</v>
      </c>
      <c r="F21" s="48" t="e">
        <f>+E21+SUM(E$6:E21)</f>
        <v>#REF!</v>
      </c>
      <c r="G21" s="49">
        <f t="shared" si="1"/>
        <v>415</v>
      </c>
      <c r="H21" s="48" t="e">
        <f t="shared" si="2"/>
        <v>#REF!</v>
      </c>
      <c r="I21" s="50">
        <f t="shared" si="3"/>
        <v>164484.95806212194</v>
      </c>
      <c r="J21" s="50" t="e">
        <f t="shared" si="4"/>
        <v>#REF!</v>
      </c>
      <c r="K21" s="51" t="e">
        <f t="shared" si="6"/>
        <v>#REF!</v>
      </c>
    </row>
    <row r="22" spans="1:11" x14ac:dyDescent="0.25">
      <c r="A22" s="47">
        <v>48.5</v>
      </c>
      <c r="B22" s="47">
        <f>28+45</f>
        <v>73</v>
      </c>
      <c r="C22" s="46">
        <f t="shared" si="0"/>
        <v>63.266666666666666</v>
      </c>
      <c r="D22" s="47" t="e">
        <f>8.32*LOG10(Resultados!#REF!)-1.61*LOG10(Resultados!#REF!)</f>
        <v>#REF!</v>
      </c>
      <c r="E22" s="48" t="e">
        <f t="shared" si="5"/>
        <v>#REF!</v>
      </c>
      <c r="F22" s="48" t="e">
        <f>+E22+SUM(E$6:E22)</f>
        <v>#REF!</v>
      </c>
      <c r="G22" s="49">
        <f t="shared" si="1"/>
        <v>455</v>
      </c>
      <c r="H22" s="48" t="e">
        <f t="shared" si="2"/>
        <v>#REF!</v>
      </c>
      <c r="I22" s="50">
        <f t="shared" si="3"/>
        <v>261101.01551136709</v>
      </c>
      <c r="J22" s="50" t="e">
        <f t="shared" si="4"/>
        <v>#REF!</v>
      </c>
      <c r="K22" s="51" t="e">
        <f t="shared" si="6"/>
        <v>#REF!</v>
      </c>
    </row>
    <row r="23" spans="1:11" x14ac:dyDescent="0.25">
      <c r="A23" s="47">
        <v>51</v>
      </c>
      <c r="B23" s="47">
        <f>11+15</f>
        <v>26</v>
      </c>
      <c r="C23" s="46">
        <f t="shared" si="0"/>
        <v>22.533333333333335</v>
      </c>
      <c r="D23" s="47" t="e">
        <f>8.32*LOG10(Resultados!#REF!)-1.61*LOG10(Resultados!#REF!)</f>
        <v>#REF!</v>
      </c>
      <c r="E23" s="48" t="e">
        <f t="shared" si="5"/>
        <v>#REF!</v>
      </c>
      <c r="F23" s="48" t="e">
        <f>+E23+SUM(E$6:E23)</f>
        <v>#REF!</v>
      </c>
      <c r="G23" s="49">
        <f t="shared" si="1"/>
        <v>480</v>
      </c>
      <c r="H23" s="48" t="e">
        <f t="shared" si="2"/>
        <v>#REF!</v>
      </c>
      <c r="I23" s="50">
        <f t="shared" si="3"/>
        <v>129398.99183072138</v>
      </c>
      <c r="J23" s="50" t="e">
        <f t="shared" si="4"/>
        <v>#REF!</v>
      </c>
      <c r="K23" s="51" t="e">
        <f t="shared" si="6"/>
        <v>#REF!</v>
      </c>
    </row>
    <row r="24" spans="1:11" x14ac:dyDescent="0.25">
      <c r="A24" s="20"/>
      <c r="B24" s="20"/>
      <c r="C24" s="11"/>
      <c r="D24" s="20"/>
      <c r="E24" s="31"/>
      <c r="F24" s="31"/>
      <c r="G24" s="32"/>
      <c r="H24" s="31"/>
      <c r="I24" s="18"/>
      <c r="J24" s="18"/>
      <c r="K24" s="33"/>
    </row>
    <row r="25" spans="1:11" x14ac:dyDescent="0.25">
      <c r="A25" s="20"/>
      <c r="B25" s="33"/>
      <c r="C25" s="30"/>
      <c r="D25" s="20"/>
      <c r="E25" s="31"/>
      <c r="F25" s="31"/>
      <c r="G25" s="32"/>
      <c r="H25" s="31"/>
      <c r="I25" s="18"/>
      <c r="J25" s="18"/>
      <c r="K25" s="33"/>
    </row>
    <row r="26" spans="1:11" x14ac:dyDescent="0.25">
      <c r="A26" s="20"/>
      <c r="B26" s="33"/>
      <c r="C26" s="30"/>
      <c r="D26" s="20"/>
      <c r="E26" s="31"/>
      <c r="F26" s="31"/>
      <c r="G26" s="32"/>
      <c r="H26" s="31"/>
      <c r="I26" s="18"/>
      <c r="J26" s="18"/>
      <c r="K26" s="33"/>
    </row>
    <row r="27" spans="1:11" x14ac:dyDescent="0.25">
      <c r="A27" s="20"/>
      <c r="B27" s="33"/>
      <c r="C27" s="30"/>
      <c r="D27" s="20"/>
      <c r="E27" s="31"/>
      <c r="F27" s="31"/>
      <c r="G27" s="32"/>
      <c r="H27" s="31"/>
      <c r="I27" s="18"/>
      <c r="J27" s="18"/>
      <c r="K27" s="33"/>
    </row>
    <row r="28" spans="1:11" x14ac:dyDescent="0.25">
      <c r="A28" s="20"/>
      <c r="B28" s="33"/>
      <c r="C28" s="30"/>
      <c r="D28" s="20"/>
      <c r="E28" s="31"/>
      <c r="F28" s="31"/>
      <c r="G28" s="32"/>
      <c r="H28" s="31"/>
      <c r="I28" s="18"/>
      <c r="J28" s="18"/>
      <c r="K28" s="33"/>
    </row>
    <row r="29" spans="1:11" x14ac:dyDescent="0.25">
      <c r="A29" s="20"/>
      <c r="B29" s="33"/>
      <c r="C29" s="30"/>
      <c r="D29" s="20"/>
      <c r="E29" s="31"/>
      <c r="F29" s="31"/>
      <c r="G29" s="32"/>
      <c r="H29" s="31"/>
      <c r="I29" s="18"/>
      <c r="J29" s="18"/>
      <c r="K29" s="33"/>
    </row>
    <row r="30" spans="1:11" x14ac:dyDescent="0.25">
      <c r="A30" s="20"/>
      <c r="B30" s="33"/>
      <c r="C30" s="30"/>
      <c r="D30" s="20"/>
      <c r="E30" s="31"/>
      <c r="F30" s="31"/>
      <c r="G30" s="32"/>
      <c r="H30" s="31"/>
      <c r="I30" s="18"/>
      <c r="J30" s="18"/>
      <c r="K30" s="33"/>
    </row>
    <row r="31" spans="1:11" x14ac:dyDescent="0.25">
      <c r="A31" s="20"/>
      <c r="B31" s="33"/>
      <c r="C31" s="30"/>
      <c r="D31" s="11"/>
    </row>
    <row r="32" spans="1:11" x14ac:dyDescent="0.25">
      <c r="A32" s="20"/>
      <c r="B32" s="33"/>
      <c r="C32" s="30"/>
      <c r="D32" s="11"/>
    </row>
    <row r="33" spans="1:4" x14ac:dyDescent="0.25">
      <c r="A33" s="20"/>
      <c r="B33" s="33"/>
      <c r="C33" s="30"/>
      <c r="D33" s="11"/>
    </row>
    <row r="34" spans="1:4" x14ac:dyDescent="0.25">
      <c r="A34" s="20"/>
      <c r="B34" s="33"/>
      <c r="C34" s="30"/>
      <c r="D34" s="11"/>
    </row>
    <row r="35" spans="1:4" x14ac:dyDescent="0.25">
      <c r="A35" s="20"/>
      <c r="B35" s="33"/>
      <c r="C35" s="30"/>
      <c r="D35" s="11"/>
    </row>
    <row r="36" spans="1:4" x14ac:dyDescent="0.25">
      <c r="A36" s="20"/>
      <c r="B36" s="33"/>
      <c r="C36" s="30"/>
      <c r="D36" s="11"/>
    </row>
    <row r="37" spans="1:4" x14ac:dyDescent="0.25">
      <c r="A37" s="20"/>
      <c r="B37" s="33"/>
      <c r="C37" s="30"/>
    </row>
    <row r="38" spans="1:4" x14ac:dyDescent="0.25">
      <c r="A38" s="20"/>
      <c r="B38" s="33"/>
      <c r="C38" s="30"/>
    </row>
    <row r="39" spans="1:4" x14ac:dyDescent="0.25">
      <c r="A39" s="20"/>
      <c r="B39" s="33"/>
      <c r="C39" s="30"/>
    </row>
    <row r="40" spans="1:4" x14ac:dyDescent="0.25">
      <c r="A40" s="20"/>
      <c r="B40" s="33"/>
      <c r="C40" s="30"/>
    </row>
    <row r="41" spans="1:4" x14ac:dyDescent="0.25">
      <c r="A41" s="20"/>
      <c r="B41" s="33"/>
      <c r="C41" s="30"/>
    </row>
    <row r="42" spans="1:4" x14ac:dyDescent="0.25">
      <c r="A42" s="20"/>
      <c r="B42" s="33"/>
      <c r="C42" s="30"/>
    </row>
    <row r="43" spans="1:4" x14ac:dyDescent="0.25">
      <c r="A43" s="20"/>
      <c r="C43" s="30"/>
    </row>
    <row r="44" spans="1:4" x14ac:dyDescent="0.25">
      <c r="A44" s="20"/>
      <c r="C44" s="30"/>
    </row>
    <row r="45" spans="1:4" x14ac:dyDescent="0.25">
      <c r="A45" s="20"/>
      <c r="C45" s="30"/>
    </row>
    <row r="46" spans="1:4" x14ac:dyDescent="0.25">
      <c r="A46" s="20"/>
      <c r="C46" s="30"/>
    </row>
    <row r="47" spans="1:4" x14ac:dyDescent="0.25">
      <c r="A47" s="20"/>
      <c r="C47" s="30"/>
    </row>
    <row r="48" spans="1:4" x14ac:dyDescent="0.25">
      <c r="A48" s="20"/>
      <c r="C48" s="30"/>
    </row>
    <row r="49" spans="1:3" x14ac:dyDescent="0.25">
      <c r="A49" s="20"/>
      <c r="B49" s="3"/>
      <c r="C49" s="30"/>
    </row>
    <row r="50" spans="1:3" x14ac:dyDescent="0.25">
      <c r="A50" s="20"/>
      <c r="B50" s="3"/>
    </row>
    <row r="51" spans="1:3" x14ac:dyDescent="0.25">
      <c r="A51" s="20"/>
      <c r="B51" s="3"/>
    </row>
    <row r="52" spans="1:3" x14ac:dyDescent="0.25">
      <c r="A52" s="20"/>
      <c r="B52" s="3"/>
    </row>
    <row r="53" spans="1:3" x14ac:dyDescent="0.25">
      <c r="A53" s="20"/>
      <c r="B53" s="3"/>
    </row>
    <row r="54" spans="1:3" x14ac:dyDescent="0.25">
      <c r="A54" s="20"/>
      <c r="B54" s="3"/>
    </row>
    <row r="55" spans="1:3" x14ac:dyDescent="0.25">
      <c r="A55" s="20"/>
      <c r="B55" s="3"/>
    </row>
    <row r="56" spans="1:3" x14ac:dyDescent="0.25">
      <c r="A56" s="20"/>
      <c r="B56" s="3"/>
    </row>
    <row r="57" spans="1:3" x14ac:dyDescent="0.25">
      <c r="B57" s="3"/>
    </row>
    <row r="58" spans="1:3" x14ac:dyDescent="0.25">
      <c r="B58" s="3"/>
    </row>
    <row r="59" spans="1:3" x14ac:dyDescent="0.25">
      <c r="B59" s="3"/>
    </row>
    <row r="60" spans="1:3" x14ac:dyDescent="0.25">
      <c r="B6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R32"/>
  <sheetViews>
    <sheetView zoomScaleNormal="100" workbookViewId="0">
      <selection activeCell="M38" sqref="M38"/>
    </sheetView>
  </sheetViews>
  <sheetFormatPr defaultColWidth="11.42578125" defaultRowHeight="15" x14ac:dyDescent="0.25"/>
  <sheetData>
    <row r="1" spans="1:15" x14ac:dyDescent="0.25">
      <c r="A1" s="2"/>
      <c r="B1" s="2"/>
      <c r="C1" s="2"/>
      <c r="D1" s="2"/>
    </row>
    <row r="2" spans="1:15" x14ac:dyDescent="0.25">
      <c r="B2" s="6"/>
      <c r="C2" s="6"/>
      <c r="D2" s="9"/>
    </row>
    <row r="3" spans="1:15" x14ac:dyDescent="0.25">
      <c r="B3" s="6"/>
      <c r="C3" s="6"/>
      <c r="D3" s="9"/>
      <c r="N3" s="171"/>
      <c r="O3" s="171"/>
    </row>
    <row r="4" spans="1:15" x14ac:dyDescent="0.25">
      <c r="B4" s="6"/>
      <c r="C4" s="6"/>
      <c r="D4" s="9"/>
      <c r="N4" s="30"/>
      <c r="O4" s="30"/>
    </row>
    <row r="5" spans="1:15" x14ac:dyDescent="0.25">
      <c r="B5" s="6"/>
      <c r="C5" s="6"/>
      <c r="D5" s="9"/>
      <c r="N5" s="30"/>
      <c r="O5" s="30"/>
    </row>
    <row r="6" spans="1:15" x14ac:dyDescent="0.25">
      <c r="B6" s="6"/>
      <c r="C6" s="6"/>
      <c r="D6" s="9"/>
      <c r="N6" s="30"/>
      <c r="O6" s="30"/>
    </row>
    <row r="7" spans="1:15" x14ac:dyDescent="0.25">
      <c r="B7" s="6"/>
      <c r="C7" s="6"/>
      <c r="D7" s="9"/>
      <c r="N7" s="30"/>
      <c r="O7" s="30"/>
    </row>
    <row r="8" spans="1:15" x14ac:dyDescent="0.25">
      <c r="B8" s="6"/>
      <c r="C8" s="6"/>
      <c r="D8" s="9"/>
      <c r="N8" s="30"/>
      <c r="O8" s="30"/>
    </row>
    <row r="9" spans="1:15" x14ac:dyDescent="0.25">
      <c r="B9" s="6"/>
      <c r="C9" s="6"/>
      <c r="D9" s="9"/>
      <c r="N9" s="30"/>
      <c r="O9" s="30"/>
    </row>
    <row r="10" spans="1:15" x14ac:dyDescent="0.25">
      <c r="B10" s="6"/>
      <c r="C10" s="6"/>
      <c r="D10" s="9"/>
      <c r="N10" s="30"/>
      <c r="O10" s="30"/>
    </row>
    <row r="11" spans="1:15" x14ac:dyDescent="0.25">
      <c r="B11" s="6"/>
      <c r="C11" s="6"/>
      <c r="D11" s="9"/>
      <c r="N11" s="30"/>
      <c r="O11" s="30"/>
    </row>
    <row r="12" spans="1:15" x14ac:dyDescent="0.25">
      <c r="B12" s="6"/>
      <c r="C12" s="6"/>
      <c r="D12" s="9"/>
      <c r="N12" s="30"/>
      <c r="O12" s="30"/>
    </row>
    <row r="13" spans="1:15" x14ac:dyDescent="0.25">
      <c r="B13" s="6"/>
      <c r="C13" s="6"/>
      <c r="D13" s="9"/>
      <c r="N13" s="30"/>
      <c r="O13" s="30"/>
    </row>
    <row r="14" spans="1:15" x14ac:dyDescent="0.25">
      <c r="B14" s="6"/>
      <c r="C14" s="6"/>
      <c r="D14" s="9"/>
      <c r="N14" s="30"/>
      <c r="O14" s="30"/>
    </row>
    <row r="15" spans="1:15" x14ac:dyDescent="0.25">
      <c r="B15" s="6"/>
      <c r="C15" s="6"/>
      <c r="D15" s="9"/>
      <c r="N15" s="30"/>
      <c r="O15" s="30"/>
    </row>
    <row r="16" spans="1:15" x14ac:dyDescent="0.25">
      <c r="B16" s="6"/>
      <c r="C16" s="6"/>
      <c r="D16" s="9"/>
      <c r="N16" s="30"/>
      <c r="O16" s="30"/>
    </row>
    <row r="17" spans="2:18" x14ac:dyDescent="0.25">
      <c r="B17" s="6"/>
      <c r="C17" s="6"/>
      <c r="D17" s="9"/>
      <c r="N17" s="30"/>
      <c r="O17" s="30"/>
    </row>
    <row r="18" spans="2:18" x14ac:dyDescent="0.25">
      <c r="B18" s="6"/>
      <c r="C18" s="6"/>
      <c r="D18" s="9"/>
      <c r="Q18" s="21"/>
      <c r="R18" s="21"/>
    </row>
    <row r="19" spans="2:18" x14ac:dyDescent="0.25">
      <c r="B19" s="6"/>
      <c r="C19" s="6"/>
      <c r="D19" s="9"/>
      <c r="Q19" s="21"/>
      <c r="R19" s="21"/>
    </row>
    <row r="20" spans="2:18" x14ac:dyDescent="0.25">
      <c r="B20" s="6"/>
      <c r="C20" s="6"/>
      <c r="D20" s="9"/>
      <c r="Q20" s="21"/>
      <c r="R20" s="21"/>
    </row>
    <row r="21" spans="2:18" x14ac:dyDescent="0.25">
      <c r="B21" s="6"/>
      <c r="C21" s="6"/>
      <c r="D21" s="9"/>
      <c r="Q21" s="21"/>
      <c r="R21" s="21"/>
    </row>
    <row r="22" spans="2:18" x14ac:dyDescent="0.25">
      <c r="B22" s="6"/>
      <c r="C22" s="6"/>
      <c r="D22" s="9"/>
      <c r="Q22" s="21"/>
      <c r="R22" s="21"/>
    </row>
    <row r="23" spans="2:18" x14ac:dyDescent="0.25">
      <c r="B23" s="6"/>
      <c r="C23" s="6"/>
      <c r="D23" s="9"/>
    </row>
    <row r="24" spans="2:18" x14ac:dyDescent="0.25">
      <c r="B24" s="6"/>
      <c r="C24" s="6"/>
      <c r="D24" s="9"/>
    </row>
    <row r="25" spans="2:18" x14ac:dyDescent="0.25">
      <c r="B25" s="6"/>
      <c r="C25" s="6"/>
      <c r="D25" s="9"/>
    </row>
    <row r="26" spans="2:18" x14ac:dyDescent="0.25">
      <c r="B26" s="6"/>
      <c r="C26" s="6"/>
      <c r="D26" s="9"/>
    </row>
    <row r="27" spans="2:18" x14ac:dyDescent="0.25">
      <c r="B27" s="6"/>
      <c r="C27" s="6"/>
      <c r="D27" s="9"/>
    </row>
    <row r="28" spans="2:18" x14ac:dyDescent="0.25">
      <c r="B28" s="6"/>
      <c r="C28" s="6"/>
      <c r="D28" s="9"/>
    </row>
    <row r="29" spans="2:18" x14ac:dyDescent="0.25">
      <c r="B29" s="6"/>
      <c r="C29" s="6"/>
      <c r="D29" s="9"/>
    </row>
    <row r="30" spans="2:18" x14ac:dyDescent="0.25">
      <c r="B30" s="6"/>
      <c r="C30" s="6"/>
      <c r="D30" s="9"/>
    </row>
    <row r="31" spans="2:18" x14ac:dyDescent="0.25">
      <c r="B31" s="6"/>
      <c r="C31" s="6"/>
      <c r="D31" s="9"/>
    </row>
    <row r="32" spans="2:18" x14ac:dyDescent="0.25">
      <c r="B32" s="6"/>
      <c r="C32" s="6"/>
      <c r="D32" s="9"/>
    </row>
  </sheetData>
  <mergeCells count="1">
    <mergeCell ref="N3:O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B297E70D4CD747BEEDD1D4A2F19C15" ma:contentTypeVersion="20" ma:contentTypeDescription="Crear nuevo documento." ma:contentTypeScope="" ma:versionID="428483254377190a97b6f32ae6e4a0d0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c107a10dd0146670373552a966f14c32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49568CD-79FD-4F29-B8EA-0EC36FCEDC36}">
  <ds:schemaRefs>
    <ds:schemaRef ds:uri="cb2f1bcd-be84-416f-8e4c-579a87f02d7c"/>
    <ds:schemaRef ds:uri="http://schemas.microsoft.com/office/2006/documentManagement/types"/>
    <ds:schemaRef ds:uri="http://schemas.microsoft.com/office/2006/metadata/properties"/>
    <ds:schemaRef ds:uri="http://purl.org/dc/elements/1.1/"/>
    <ds:schemaRef ds:uri="f23fb798-1e5f-4136-a5b2-f036c507fb57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2705470-2083-4183-B54D-42AE95F0001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18DF1D6-A038-4B37-8708-176CB534B9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Analisis</vt:lpstr>
      <vt:lpstr>Resultados</vt:lpstr>
      <vt:lpstr>SPT</vt:lpstr>
      <vt:lpstr>Comparación</vt:lpstr>
      <vt:lpstr>Resultados!Print_Area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Echeverri</dc:creator>
  <cp:lastModifiedBy>Katerine Arias</cp:lastModifiedBy>
  <cp:lastPrinted>2024-11-18T21:22:09Z</cp:lastPrinted>
  <dcterms:created xsi:type="dcterms:W3CDTF">2012-03-26T23:44:46Z</dcterms:created>
  <dcterms:modified xsi:type="dcterms:W3CDTF">2024-12-03T16:21:31Z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</Properties>
</file>